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MVHR" sheetId="2" state="visible" r:id="rId2"/>
    <sheet xmlns:r="http://schemas.openxmlformats.org/officeDocument/2006/relationships" name="AHU" sheetId="3" state="visible" r:id="rId3"/>
    <sheet xmlns:r="http://schemas.openxmlformats.org/officeDocument/2006/relationships" name="FCU" sheetId="4" state="visible" r:id="rId4"/>
    <sheet xmlns:r="http://schemas.openxmlformats.org/officeDocument/2006/relationships" name="PUMP" sheetId="5" state="visible" r:id="rId5"/>
    <sheet xmlns:r="http://schemas.openxmlformats.org/officeDocument/2006/relationships" name="RAD" sheetId="6" state="visible" r:id="rId6"/>
    <sheet xmlns:r="http://schemas.openxmlformats.org/officeDocument/2006/relationships" name="EWH" sheetId="7" state="visible" r:id="rId7"/>
    <sheet xmlns:r="http://schemas.openxmlformats.org/officeDocument/2006/relationships" name="SUPGRILLE" sheetId="8" state="visible" r:id="rId8"/>
    <sheet xmlns:r="http://schemas.openxmlformats.org/officeDocument/2006/relationships" name="EXTGRIL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Verdana"/>
      <b val="1"/>
      <color rgb="004D4D4D"/>
      <sz val="14"/>
    </font>
    <font>
      <name val="Verdana"/>
      <i val="1"/>
      <color rgb="00595959"/>
      <sz val="9"/>
    </font>
    <font>
      <name val="Verdana"/>
      <b val="1"/>
      <sz val="9"/>
    </font>
    <font>
      <name val="Arial"/>
      <b val="1"/>
      <sz val="8"/>
    </font>
    <font>
      <name val="Arial"/>
      <i val="1"/>
      <color rgb="00595959"/>
      <sz val="8"/>
    </font>
    <font>
      <name val="Arial"/>
      <sz val="8"/>
    </font>
    <font>
      <name val="Verdana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7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4" customWidth="1" min="3" max="3"/>
  </cols>
  <sheetData>
    <row r="1">
      <c r="A1" s="1" t="inlineStr">
        <is>
          <t>CENTRAL EQUIPMENT LIBRARY</t>
        </is>
      </c>
    </row>
    <row r="2">
      <c r="A2" s="2" t="inlineStr">
        <is>
          <t>One sheet per equipment type. Column A is always Model Reference and is the lookup key. Merge approved entries from the submissions folder into these sheets.</t>
        </is>
      </c>
    </row>
    <row r="4">
      <c r="A4" s="3" t="inlineStr">
        <is>
          <t>Code</t>
        </is>
      </c>
      <c r="B4" s="3" t="inlineStr">
        <is>
          <t>Equipment Type</t>
        </is>
      </c>
      <c r="C4" s="3" t="inlineStr">
        <is>
          <t>Entries</t>
        </is>
      </c>
    </row>
    <row r="5">
      <c r="A5" s="4" t="inlineStr">
        <is>
          <t>MVHR</t>
        </is>
      </c>
      <c r="B5" s="4" t="inlineStr">
        <is>
          <t>MVHR Units</t>
        </is>
      </c>
      <c r="C5" s="4">
        <f>COUNTA(MVHR!$A$3:$A$5000)</f>
        <v/>
      </c>
    </row>
    <row r="6">
      <c r="A6" s="4" t="inlineStr">
        <is>
          <t>AHU</t>
        </is>
      </c>
      <c r="B6" s="4" t="inlineStr">
        <is>
          <t>Air Handling Units</t>
        </is>
      </c>
      <c r="C6" s="4">
        <f>COUNTA(AHU!$A$3:$A$5000)</f>
        <v/>
      </c>
    </row>
    <row r="7">
      <c r="A7" s="4" t="inlineStr">
        <is>
          <t>FCU</t>
        </is>
      </c>
      <c r="B7" s="4" t="inlineStr">
        <is>
          <t>Fan Coil Units</t>
        </is>
      </c>
      <c r="C7" s="4">
        <f>COUNTA(FCU!$A$3:$A$5000)</f>
        <v/>
      </c>
    </row>
    <row r="8">
      <c r="A8" s="4" t="inlineStr">
        <is>
          <t>PUMP</t>
        </is>
      </c>
      <c r="B8" s="4" t="inlineStr">
        <is>
          <t>Pumps</t>
        </is>
      </c>
      <c r="C8" s="4">
        <f>COUNTA(PUMP!$A$3:$A$5000)</f>
        <v/>
      </c>
    </row>
    <row r="9">
      <c r="A9" s="4" t="inlineStr">
        <is>
          <t>RAD</t>
        </is>
      </c>
      <c r="B9" s="4" t="inlineStr">
        <is>
          <t>Radiators</t>
        </is>
      </c>
      <c r="C9" s="4">
        <f>COUNTA(RAD!$A$3:$A$5000)</f>
        <v/>
      </c>
    </row>
    <row r="10">
      <c r="A10" s="4" t="inlineStr">
        <is>
          <t>EWH</t>
        </is>
      </c>
      <c r="B10" s="4" t="inlineStr">
        <is>
          <t>Electric Water Heaters</t>
        </is>
      </c>
      <c r="C10" s="4">
        <f>COUNTA(EWH!$A$3:$A$5000)</f>
        <v/>
      </c>
    </row>
    <row r="11">
      <c r="A11" s="4" t="inlineStr">
        <is>
          <t>SUPGRILLE</t>
        </is>
      </c>
      <c r="B11" s="4" t="inlineStr">
        <is>
          <t>Supply Grilles and Diffusers</t>
        </is>
      </c>
      <c r="C11" s="4">
        <f>COUNTA(SUPGRILLE!$A$3:$A$5000)</f>
        <v/>
      </c>
    </row>
    <row r="12">
      <c r="A12" s="4" t="inlineStr">
        <is>
          <t>EXTGRILLE</t>
        </is>
      </c>
      <c r="B12" s="4" t="inlineStr">
        <is>
          <t>Extract Grilles</t>
        </is>
      </c>
      <c r="C12" s="4">
        <f>COUNTA(EXTGRILLE!$A$3:$A$5000)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5" t="inlineStr">
        <is>
          <t>Model Reference</t>
        </is>
      </c>
      <c r="B1" s="5" t="inlineStr">
        <is>
          <t>Manufacturer</t>
        </is>
      </c>
      <c r="C1" s="5" t="inlineStr">
        <is>
          <t>Length</t>
        </is>
      </c>
      <c r="D1" s="5" t="inlineStr">
        <is>
          <t>Width</t>
        </is>
      </c>
      <c r="E1" s="5" t="inlineStr">
        <is>
          <t>Height</t>
        </is>
      </c>
      <c r="F1" s="5" t="inlineStr">
        <is>
          <t>Weight</t>
        </is>
      </c>
      <c r="G1" s="5" t="inlineStr">
        <is>
          <t>Electrical Supply</t>
        </is>
      </c>
      <c r="H1" s="5" t="inlineStr">
        <is>
          <t>Supply Filter Grade</t>
        </is>
      </c>
      <c r="I1" s="5" t="inlineStr">
        <is>
          <t>Extract Filter Grade</t>
        </is>
      </c>
      <c r="J1" s="5" t="inlineStr">
        <is>
          <t>Heat Exchanger Type</t>
        </is>
      </c>
      <c r="K1" s="5" t="inlineStr">
        <is>
          <t>Dry Heat Recovery Efficiency</t>
        </is>
      </c>
      <c r="L1" s="5" t="inlineStr">
        <is>
          <t>Duct Connection Diameter</t>
        </is>
      </c>
      <c r="M1" s="5" t="inlineStr">
        <is>
          <t>Sound Power Level Breakout</t>
        </is>
      </c>
    </row>
    <row r="2">
      <c r="A2" s="6" t="inlineStr"/>
      <c r="B2" s="6" t="inlineStr"/>
      <c r="C2" s="6" t="inlineStr">
        <is>
          <t>mm</t>
        </is>
      </c>
      <c r="D2" s="6" t="inlineStr">
        <is>
          <t>mm</t>
        </is>
      </c>
      <c r="E2" s="6" t="inlineStr">
        <is>
          <t>mm</t>
        </is>
      </c>
      <c r="F2" s="6" t="inlineStr">
        <is>
          <t>kg</t>
        </is>
      </c>
      <c r="G2" s="6" t="inlineStr"/>
      <c r="H2" s="6" t="inlineStr"/>
      <c r="I2" s="6" t="inlineStr"/>
      <c r="J2" s="6" t="inlineStr"/>
      <c r="K2" s="6" t="inlineStr">
        <is>
          <t>%</t>
        </is>
      </c>
      <c r="L2" s="6" t="inlineStr">
        <is>
          <t>mm</t>
        </is>
      </c>
      <c r="M2" s="6" t="inlineStr">
        <is>
          <t>dB(A)</t>
        </is>
      </c>
    </row>
    <row r="3">
      <c r="A3" s="7" t="inlineStr">
        <is>
          <t>MVHR-EXAMPLE-01</t>
        </is>
      </c>
      <c r="B3" s="7" t="inlineStr">
        <is>
          <t>Systemair</t>
        </is>
      </c>
      <c r="C3" s="7" t="n">
        <v>1200</v>
      </c>
      <c r="D3" s="7" t="n">
        <v>900</v>
      </c>
      <c r="E3" s="7" t="n">
        <v>700</v>
      </c>
      <c r="F3" s="7" t="n">
        <v>145</v>
      </c>
      <c r="G3" s="7" t="inlineStr">
        <is>
          <t>230V/1ph/50Hz</t>
        </is>
      </c>
      <c r="H3" s="7" t="inlineStr">
        <is>
          <t>ISO ePM1 55%</t>
        </is>
      </c>
      <c r="I3" s="7" t="inlineStr">
        <is>
          <t>ISO ePM10 50%</t>
        </is>
      </c>
      <c r="J3" s="7" t="inlineStr">
        <is>
          <t>Counterflow Plate</t>
        </is>
      </c>
      <c r="K3" s="7" t="n">
        <v>88</v>
      </c>
      <c r="L3" s="7" t="n">
        <v>250</v>
      </c>
      <c r="M3" s="7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5" t="inlineStr">
        <is>
          <t>Model Reference</t>
        </is>
      </c>
      <c r="B1" s="5" t="inlineStr">
        <is>
          <t>Manufacturer</t>
        </is>
      </c>
      <c r="C1" s="5" t="inlineStr">
        <is>
          <t>Length</t>
        </is>
      </c>
      <c r="D1" s="5" t="inlineStr">
        <is>
          <t>Width</t>
        </is>
      </c>
      <c r="E1" s="5" t="inlineStr">
        <is>
          <t>Height</t>
        </is>
      </c>
      <c r="F1" s="5" t="inlineStr">
        <is>
          <t>Operating Weight</t>
        </is>
      </c>
      <c r="G1" s="5" t="inlineStr">
        <is>
          <t>Electrical Supply</t>
        </is>
      </c>
      <c r="H1" s="5" t="inlineStr">
        <is>
          <t>Casing Class (BS EN 1886)</t>
        </is>
      </c>
      <c r="I1" s="5" t="inlineStr">
        <is>
          <t>Supply Filter Grade</t>
        </is>
      </c>
      <c r="J1" s="5" t="inlineStr">
        <is>
          <t>Extract Filter Grade</t>
        </is>
      </c>
      <c r="K1" s="5" t="inlineStr">
        <is>
          <t>Heat Recovery Type</t>
        </is>
      </c>
      <c r="L1" s="5" t="inlineStr">
        <is>
          <t>Heat Recovery Efficiency</t>
        </is>
      </c>
      <c r="M1" s="5" t="inlineStr">
        <is>
          <t>Sound Power Level Breakout</t>
        </is>
      </c>
      <c r="N1" s="5" t="inlineStr">
        <is>
          <t>LPHW Coil Connection</t>
        </is>
      </c>
      <c r="O1" s="5" t="inlineStr">
        <is>
          <t>CHW Coil Connection</t>
        </is>
      </c>
    </row>
    <row r="2">
      <c r="A2" s="6" t="inlineStr"/>
      <c r="B2" s="6" t="inlineStr"/>
      <c r="C2" s="6" t="inlineStr">
        <is>
          <t>mm</t>
        </is>
      </c>
      <c r="D2" s="6" t="inlineStr">
        <is>
          <t>mm</t>
        </is>
      </c>
      <c r="E2" s="6" t="inlineStr">
        <is>
          <t>mm</t>
        </is>
      </c>
      <c r="F2" s="6" t="inlineStr">
        <is>
          <t>kg</t>
        </is>
      </c>
      <c r="G2" s="6" t="inlineStr"/>
      <c r="H2" s="6" t="inlineStr"/>
      <c r="I2" s="6" t="inlineStr"/>
      <c r="J2" s="6" t="inlineStr"/>
      <c r="K2" s="6" t="inlineStr"/>
      <c r="L2" s="6" t="inlineStr">
        <is>
          <t>%</t>
        </is>
      </c>
      <c r="M2" s="6" t="inlineStr">
        <is>
          <t>dB(A)</t>
        </is>
      </c>
      <c r="N2" s="6" t="inlineStr">
        <is>
          <t>mm</t>
        </is>
      </c>
      <c r="O2" s="6" t="inlineStr">
        <is>
          <t>mm</t>
        </is>
      </c>
    </row>
    <row r="3">
      <c r="A3" s="7" t="inlineStr">
        <is>
          <t>AHU-EXAMPLE-01</t>
        </is>
      </c>
      <c r="B3" s="7" t="inlineStr">
        <is>
          <t>Nuaire</t>
        </is>
      </c>
      <c r="C3" s="7" t="n">
        <v>4200</v>
      </c>
      <c r="D3" s="7" t="n">
        <v>1600</v>
      </c>
      <c r="E3" s="7" t="n">
        <v>1800</v>
      </c>
      <c r="F3" s="7" t="n">
        <v>1450</v>
      </c>
      <c r="G3" s="7" t="inlineStr">
        <is>
          <t>400V/3ph/50Hz</t>
        </is>
      </c>
      <c r="H3" s="7" t="inlineStr">
        <is>
          <t>T2/TB2/L1/F9</t>
        </is>
      </c>
      <c r="I3" s="7" t="inlineStr">
        <is>
          <t>ISO ePM1 60%</t>
        </is>
      </c>
      <c r="J3" s="7" t="inlineStr">
        <is>
          <t>ISO ePM10 50%</t>
        </is>
      </c>
      <c r="K3" s="7" t="inlineStr">
        <is>
          <t>Thermal Wheel</t>
        </is>
      </c>
      <c r="L3" s="7" t="n">
        <v>78</v>
      </c>
      <c r="M3" s="7" t="n">
        <v>68</v>
      </c>
      <c r="N3" s="7" t="n">
        <v>40</v>
      </c>
      <c r="O3" s="7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5" t="inlineStr">
        <is>
          <t>Model Reference</t>
        </is>
      </c>
      <c r="B1" s="5" t="inlineStr">
        <is>
          <t>Manufacturer</t>
        </is>
      </c>
      <c r="C1" s="5" t="inlineStr">
        <is>
          <t>Model Length</t>
        </is>
      </c>
      <c r="D1" s="5" t="inlineStr">
        <is>
          <t>Model Width</t>
        </is>
      </c>
      <c r="E1" s="5" t="inlineStr">
        <is>
          <t>Model Height</t>
        </is>
      </c>
      <c r="F1" s="5" t="inlineStr">
        <is>
          <t>Weight</t>
        </is>
      </c>
      <c r="G1" s="5" t="inlineStr">
        <is>
          <t>Electrical Supply</t>
        </is>
      </c>
      <c r="H1" s="5" t="inlineStr">
        <is>
          <t>Filter Grade</t>
        </is>
      </c>
      <c r="I1" s="5" t="inlineStr">
        <is>
          <t>Sound Pressure Level at 3m</t>
        </is>
      </c>
      <c r="J1" s="5" t="inlineStr">
        <is>
          <t>LPHW Connection</t>
        </is>
      </c>
      <c r="K1" s="5" t="inlineStr">
        <is>
          <t>CHW Connection</t>
        </is>
      </c>
      <c r="L1" s="5" t="inlineStr">
        <is>
          <t>Condensate Connection</t>
        </is>
      </c>
    </row>
    <row r="2">
      <c r="A2" s="6" t="inlineStr"/>
      <c r="B2" s="6" t="inlineStr"/>
      <c r="C2" s="6" t="inlineStr">
        <is>
          <t>mm</t>
        </is>
      </c>
      <c r="D2" s="6" t="inlineStr">
        <is>
          <t>mm</t>
        </is>
      </c>
      <c r="E2" s="6" t="inlineStr">
        <is>
          <t>mm</t>
        </is>
      </c>
      <c r="F2" s="6" t="inlineStr">
        <is>
          <t>kg</t>
        </is>
      </c>
      <c r="G2" s="6" t="inlineStr"/>
      <c r="H2" s="6" t="inlineStr"/>
      <c r="I2" s="6" t="inlineStr">
        <is>
          <t>dB(A)</t>
        </is>
      </c>
      <c r="J2" s="6" t="inlineStr">
        <is>
          <t>mm</t>
        </is>
      </c>
      <c r="K2" s="6" t="inlineStr">
        <is>
          <t>mm</t>
        </is>
      </c>
      <c r="L2" s="6" t="inlineStr">
        <is>
          <t>mm</t>
        </is>
      </c>
    </row>
    <row r="3">
      <c r="A3" s="7" t="inlineStr">
        <is>
          <t>FCU-EXAMPLE-01</t>
        </is>
      </c>
      <c r="B3" s="7" t="inlineStr">
        <is>
          <t>Diffusion</t>
        </is>
      </c>
      <c r="C3" s="7" t="n">
        <v>1200</v>
      </c>
      <c r="D3" s="7" t="n">
        <v>600</v>
      </c>
      <c r="E3" s="7" t="n">
        <v>280</v>
      </c>
      <c r="F3" s="7" t="n">
        <v>48</v>
      </c>
      <c r="G3" s="7" t="inlineStr">
        <is>
          <t>230V/1ph/50Hz</t>
        </is>
      </c>
      <c r="H3" s="7" t="inlineStr">
        <is>
          <t>ISO Coarse 60%</t>
        </is>
      </c>
      <c r="I3" s="7" t="n">
        <v>34</v>
      </c>
      <c r="J3" s="7" t="n">
        <v>15</v>
      </c>
      <c r="K3" s="7" t="n">
        <v>15</v>
      </c>
      <c r="L3" s="7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5" t="inlineStr">
        <is>
          <t>Model Reference</t>
        </is>
      </c>
      <c r="B1" s="5" t="inlineStr">
        <is>
          <t>Manufacturer</t>
        </is>
      </c>
      <c r="C1" s="5" t="inlineStr">
        <is>
          <t>Pump Type</t>
        </is>
      </c>
      <c r="D1" s="5" t="inlineStr">
        <is>
          <t>Motor Rated Power</t>
        </is>
      </c>
      <c r="E1" s="5" t="inlineStr">
        <is>
          <t>Motor Efficiency Class</t>
        </is>
      </c>
      <c r="F1" s="5" t="inlineStr">
        <is>
          <t>Speed Control</t>
        </is>
      </c>
      <c r="G1" s="5" t="inlineStr">
        <is>
          <t>Electrical Supply</t>
        </is>
      </c>
      <c r="H1" s="5" t="inlineStr">
        <is>
          <t>Connection Size</t>
        </is>
      </c>
      <c r="I1" s="5" t="inlineStr">
        <is>
          <t>Length</t>
        </is>
      </c>
      <c r="J1" s="5" t="inlineStr">
        <is>
          <t>Width</t>
        </is>
      </c>
      <c r="K1" s="5" t="inlineStr">
        <is>
          <t>Height</t>
        </is>
      </c>
      <c r="L1" s="5" t="inlineStr">
        <is>
          <t>Weight</t>
        </is>
      </c>
    </row>
    <row r="2">
      <c r="A2" s="6" t="inlineStr"/>
      <c r="B2" s="6" t="inlineStr"/>
      <c r="C2" s="6" t="inlineStr"/>
      <c r="D2" s="6" t="inlineStr">
        <is>
          <t>kW</t>
        </is>
      </c>
      <c r="E2" s="6" t="inlineStr"/>
      <c r="F2" s="6" t="inlineStr"/>
      <c r="G2" s="6" t="inlineStr"/>
      <c r="H2" s="6" t="inlineStr">
        <is>
          <t>mm</t>
        </is>
      </c>
      <c r="I2" s="6" t="inlineStr">
        <is>
          <t>mm</t>
        </is>
      </c>
      <c r="J2" s="6" t="inlineStr">
        <is>
          <t>mm</t>
        </is>
      </c>
      <c r="K2" s="6" t="inlineStr">
        <is>
          <t>mm</t>
        </is>
      </c>
      <c r="L2" s="6" t="inlineStr">
        <is>
          <t>kg</t>
        </is>
      </c>
    </row>
    <row r="3">
      <c r="A3" s="7" t="inlineStr">
        <is>
          <t>PUMP-EXAMPLE-01</t>
        </is>
      </c>
      <c r="B3" s="7" t="inlineStr">
        <is>
          <t>Grundfos</t>
        </is>
      </c>
      <c r="C3" s="7" t="inlineStr">
        <is>
          <t>Inline Twin Head</t>
        </is>
      </c>
      <c r="D3" s="7" t="n">
        <v>1.5</v>
      </c>
      <c r="E3" s="7" t="inlineStr">
        <is>
          <t>IE5</t>
        </is>
      </c>
      <c r="F3" s="7" t="inlineStr">
        <is>
          <t>Integrated VSD</t>
        </is>
      </c>
      <c r="G3" s="7" t="inlineStr">
        <is>
          <t>400V/3ph/50Hz</t>
        </is>
      </c>
      <c r="H3" s="7" t="n">
        <v>50</v>
      </c>
      <c r="I3" s="7" t="n">
        <v>480</v>
      </c>
      <c r="J3" s="7" t="n">
        <v>320</v>
      </c>
      <c r="K3" s="7" t="n">
        <v>560</v>
      </c>
      <c r="L3" s="7" t="n">
        <v>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5" t="inlineStr">
        <is>
          <t>Model Reference</t>
        </is>
      </c>
      <c r="B1" s="5" t="inlineStr">
        <is>
          <t>Manufacturer</t>
        </is>
      </c>
      <c r="C1" s="5" t="inlineStr">
        <is>
          <t>Radiator Type</t>
        </is>
      </c>
      <c r="D1" s="5" t="inlineStr">
        <is>
          <t>Length</t>
        </is>
      </c>
      <c r="E1" s="5" t="inlineStr">
        <is>
          <t>Height</t>
        </is>
      </c>
      <c r="F1" s="5" t="inlineStr">
        <is>
          <t>Depth</t>
        </is>
      </c>
      <c r="G1" s="5" t="inlineStr">
        <is>
          <t>Output at dT50</t>
        </is>
      </c>
      <c r="H1" s="5" t="inlineStr">
        <is>
          <t>Water Content</t>
        </is>
      </c>
      <c r="I1" s="5" t="inlineStr">
        <is>
          <t>Weight</t>
        </is>
      </c>
      <c r="J1" s="5" t="inlineStr">
        <is>
          <t>Connection Size</t>
        </is>
      </c>
      <c r="K1" s="5" t="inlineStr">
        <is>
          <t>Finish</t>
        </is>
      </c>
    </row>
    <row r="2">
      <c r="A2" s="6" t="inlineStr"/>
      <c r="B2" s="6" t="inlineStr"/>
      <c r="C2" s="6" t="inlineStr"/>
      <c r="D2" s="6" t="inlineStr">
        <is>
          <t>mm</t>
        </is>
      </c>
      <c r="E2" s="6" t="inlineStr">
        <is>
          <t>mm</t>
        </is>
      </c>
      <c r="F2" s="6" t="inlineStr">
        <is>
          <t>mm</t>
        </is>
      </c>
      <c r="G2" s="6" t="inlineStr">
        <is>
          <t>W</t>
        </is>
      </c>
      <c r="H2" s="6" t="inlineStr">
        <is>
          <t>l</t>
        </is>
      </c>
      <c r="I2" s="6" t="inlineStr">
        <is>
          <t>kg</t>
        </is>
      </c>
      <c r="J2" s="6" t="inlineStr">
        <is>
          <t>mm</t>
        </is>
      </c>
      <c r="K2" s="6" t="inlineStr"/>
    </row>
    <row r="3">
      <c r="A3" s="7" t="inlineStr">
        <is>
          <t>RAD-EXAMPLE-01</t>
        </is>
      </c>
      <c r="B3" s="7" t="inlineStr">
        <is>
          <t>Stelrad</t>
        </is>
      </c>
      <c r="C3" s="7" t="inlineStr">
        <is>
          <t>K2 Double Panel</t>
        </is>
      </c>
      <c r="D3" s="7" t="n">
        <v>1200</v>
      </c>
      <c r="E3" s="7" t="n">
        <v>600</v>
      </c>
      <c r="F3" s="7" t="n">
        <v>100</v>
      </c>
      <c r="G3" s="7" t="n">
        <v>1642</v>
      </c>
      <c r="H3" s="7" t="n">
        <v>6.4</v>
      </c>
      <c r="I3" s="7" t="n">
        <v>32</v>
      </c>
      <c r="J3" s="7" t="n">
        <v>15</v>
      </c>
      <c r="K3" s="7" t="inlineStr">
        <is>
          <t>RAL 9016 White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5" t="inlineStr">
        <is>
          <t>Model Reference</t>
        </is>
      </c>
      <c r="B1" s="5" t="inlineStr">
        <is>
          <t>Manufacturer</t>
        </is>
      </c>
      <c r="C1" s="5" t="inlineStr">
        <is>
          <t>Nominal Capacity</t>
        </is>
      </c>
      <c r="D1" s="5" t="inlineStr">
        <is>
          <t>Element Rating</t>
        </is>
      </c>
      <c r="E1" s="5" t="inlineStr">
        <is>
          <t>Vented / Unvented</t>
        </is>
      </c>
      <c r="F1" s="5" t="inlineStr">
        <is>
          <t>Electrical Supply</t>
        </is>
      </c>
      <c r="G1" s="5" t="inlineStr">
        <is>
          <t>Diameter</t>
        </is>
      </c>
      <c r="H1" s="5" t="inlineStr">
        <is>
          <t>Height</t>
        </is>
      </c>
      <c r="I1" s="5" t="inlineStr">
        <is>
          <t>Dry Weight</t>
        </is>
      </c>
      <c r="J1" s="5" t="inlineStr">
        <is>
          <t>Filled Weight</t>
        </is>
      </c>
      <c r="K1" s="5" t="inlineStr">
        <is>
          <t>Standing Heat Loss</t>
        </is>
      </c>
      <c r="L1" s="5" t="inlineStr">
        <is>
          <t>Mounting</t>
        </is>
      </c>
      <c r="M1" s="5" t="inlineStr">
        <is>
          <t>Connection Size</t>
        </is>
      </c>
    </row>
    <row r="2">
      <c r="A2" s="6" t="inlineStr"/>
      <c r="B2" s="6" t="inlineStr"/>
      <c r="C2" s="6" t="inlineStr">
        <is>
          <t>l</t>
        </is>
      </c>
      <c r="D2" s="6" t="inlineStr">
        <is>
          <t>kW</t>
        </is>
      </c>
      <c r="E2" s="6" t="inlineStr"/>
      <c r="F2" s="6" t="inlineStr"/>
      <c r="G2" s="6" t="inlineStr">
        <is>
          <t>mm</t>
        </is>
      </c>
      <c r="H2" s="6" t="inlineStr">
        <is>
          <t>mm</t>
        </is>
      </c>
      <c r="I2" s="6" t="inlineStr">
        <is>
          <t>kg</t>
        </is>
      </c>
      <c r="J2" s="6" t="inlineStr">
        <is>
          <t>kg</t>
        </is>
      </c>
      <c r="K2" s="6" t="inlineStr">
        <is>
          <t>kWh/24h</t>
        </is>
      </c>
      <c r="L2" s="6" t="inlineStr"/>
      <c r="M2" s="6" t="inlineStr">
        <is>
          <t>mm</t>
        </is>
      </c>
    </row>
    <row r="3">
      <c r="A3" s="7" t="inlineStr">
        <is>
          <t>EWH-EXAMPLE-01</t>
        </is>
      </c>
      <c r="B3" s="7" t="inlineStr">
        <is>
          <t>Heatrae Sadia</t>
        </is>
      </c>
      <c r="C3" s="7" t="n">
        <v>50</v>
      </c>
      <c r="D3" s="7" t="n">
        <v>3</v>
      </c>
      <c r="E3" s="7" t="inlineStr">
        <is>
          <t>Unvented</t>
        </is>
      </c>
      <c r="F3" s="7" t="inlineStr">
        <is>
          <t>230V/1ph/50Hz</t>
        </is>
      </c>
      <c r="G3" s="7" t="n">
        <v>475</v>
      </c>
      <c r="H3" s="7" t="n">
        <v>720</v>
      </c>
      <c r="I3" s="7" t="n">
        <v>22</v>
      </c>
      <c r="J3" s="7" t="n">
        <v>72</v>
      </c>
      <c r="K3" s="7" t="n">
        <v>1.1</v>
      </c>
      <c r="L3" s="7" t="inlineStr">
        <is>
          <t>Floor Standing</t>
        </is>
      </c>
      <c r="M3" s="7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5" t="inlineStr">
        <is>
          <t>Model Reference</t>
        </is>
      </c>
      <c r="B1" s="5" t="inlineStr">
        <is>
          <t>Manufacturer</t>
        </is>
      </c>
      <c r="C1" s="5" t="inlineStr">
        <is>
          <t>Terminal Type</t>
        </is>
      </c>
      <c r="D1" s="5" t="inlineStr">
        <is>
          <t>Face Size</t>
        </is>
      </c>
      <c r="E1" s="5" t="inlineStr">
        <is>
          <t>Neck Size</t>
        </is>
      </c>
      <c r="F1" s="5" t="inlineStr">
        <is>
          <t>Free Area</t>
        </is>
      </c>
      <c r="G1" s="5" t="inlineStr">
        <is>
          <t>Neck Area</t>
        </is>
      </c>
      <c r="H1" s="5" t="inlineStr">
        <is>
          <t>Discharge Pattern</t>
        </is>
      </c>
      <c r="I1" s="5" t="inlineStr">
        <is>
          <t>Damper Type</t>
        </is>
      </c>
      <c r="J1" s="5" t="inlineStr">
        <is>
          <t>Material / Finish</t>
        </is>
      </c>
    </row>
    <row r="2">
      <c r="A2" s="6" t="inlineStr"/>
      <c r="B2" s="6" t="inlineStr"/>
      <c r="C2" s="6" t="inlineStr"/>
      <c r="D2" s="6" t="inlineStr">
        <is>
          <t>mm</t>
        </is>
      </c>
      <c r="E2" s="6" t="inlineStr">
        <is>
          <t>mm</t>
        </is>
      </c>
      <c r="F2" s="6" t="inlineStr">
        <is>
          <t>m²</t>
        </is>
      </c>
      <c r="G2" s="6" t="inlineStr">
        <is>
          <t>m²</t>
        </is>
      </c>
      <c r="H2" s="6" t="inlineStr"/>
      <c r="I2" s="6" t="inlineStr"/>
      <c r="J2" s="6" t="inlineStr"/>
    </row>
    <row r="3">
      <c r="A3" s="7" t="inlineStr">
        <is>
          <t>SUPGRILLE-EXAMPLE-01</t>
        </is>
      </c>
      <c r="B3" s="7" t="inlineStr">
        <is>
          <t>Trox</t>
        </is>
      </c>
      <c r="C3" s="7" t="inlineStr">
        <is>
          <t>4-Way Square Diffuser</t>
        </is>
      </c>
      <c r="D3" s="7" t="inlineStr">
        <is>
          <t>595 x 595</t>
        </is>
      </c>
      <c r="E3" s="7" t="n">
        <v>200</v>
      </c>
      <c r="F3" s="7" t="n">
        <v>0.031</v>
      </c>
      <c r="G3" s="7" t="n">
        <v>0.0314</v>
      </c>
      <c r="H3" s="7" t="inlineStr">
        <is>
          <t>4-Way Horizontal</t>
        </is>
      </c>
      <c r="I3" s="7" t="inlineStr">
        <is>
          <t>Opposed Blade</t>
        </is>
      </c>
      <c r="J3" s="7" t="inlineStr">
        <is>
          <t>Steel, RAL 9010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5" t="inlineStr">
        <is>
          <t>Model Reference</t>
        </is>
      </c>
      <c r="B1" s="5" t="inlineStr">
        <is>
          <t>Manufacturer</t>
        </is>
      </c>
      <c r="C1" s="5" t="inlineStr">
        <is>
          <t>Terminal Type</t>
        </is>
      </c>
      <c r="D1" s="5" t="inlineStr">
        <is>
          <t>Face Size</t>
        </is>
      </c>
      <c r="E1" s="5" t="inlineStr">
        <is>
          <t>Neck Size</t>
        </is>
      </c>
      <c r="F1" s="5" t="inlineStr">
        <is>
          <t>Free Area</t>
        </is>
      </c>
      <c r="G1" s="5" t="inlineStr">
        <is>
          <t>Neck Area</t>
        </is>
      </c>
      <c r="H1" s="5" t="inlineStr">
        <is>
          <t>Damper Type</t>
        </is>
      </c>
      <c r="I1" s="5" t="inlineStr">
        <is>
          <t>Material / Finish</t>
        </is>
      </c>
    </row>
    <row r="2">
      <c r="A2" s="6" t="inlineStr"/>
      <c r="B2" s="6" t="inlineStr"/>
      <c r="C2" s="6" t="inlineStr"/>
      <c r="D2" s="6" t="inlineStr">
        <is>
          <t>mm</t>
        </is>
      </c>
      <c r="E2" s="6" t="inlineStr">
        <is>
          <t>mm</t>
        </is>
      </c>
      <c r="F2" s="6" t="inlineStr">
        <is>
          <t>m²</t>
        </is>
      </c>
      <c r="G2" s="6" t="inlineStr">
        <is>
          <t>m²</t>
        </is>
      </c>
      <c r="H2" s="6" t="inlineStr"/>
      <c r="I2" s="6" t="inlineStr"/>
    </row>
    <row r="3">
      <c r="A3" s="7" t="inlineStr">
        <is>
          <t>EXTGRILLE-EXAMPLE-01</t>
        </is>
      </c>
      <c r="B3" s="7" t="inlineStr">
        <is>
          <t>Trox</t>
        </is>
      </c>
      <c r="C3" s="7" t="inlineStr">
        <is>
          <t>Eggcrate Grille</t>
        </is>
      </c>
      <c r="D3" s="7" t="inlineStr">
        <is>
          <t>300 x 300</t>
        </is>
      </c>
      <c r="E3" s="7" t="n">
        <v>200</v>
      </c>
      <c r="F3" s="7" t="n">
        <v>0.058</v>
      </c>
      <c r="G3" s="7" t="n">
        <v>0.0314</v>
      </c>
      <c r="H3" s="7" t="inlineStr">
        <is>
          <t>Opposed Blade</t>
        </is>
      </c>
      <c r="I3" s="7" t="inlineStr">
        <is>
          <t>Aluminium, RAL 9010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2026-08-25T12:43:56Z</dcterms:created>
  <dcterms:modified xmlns:dcterms="http://purl.org/dc/terms/" xmlns:xsi="http://www.w3.org/2001/XMLSchema-instance" xsi:type="dcterms:W3CDTF">2026-08-25T12:43:56Z</dcterms:modified>
</cp:coreProperties>
</file>