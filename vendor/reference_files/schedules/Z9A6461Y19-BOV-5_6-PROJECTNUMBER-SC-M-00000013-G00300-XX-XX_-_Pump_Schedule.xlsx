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'Schedule'!$A$1:$Z$45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W4" authorId="0" shapeId="0">
      <text>
        <t>Converted from kPa using rho x g for water at 1000 kg/m3.</t>
      </text>
    </comment>
    <comment ref="X4" authorId="0" shapeId="0">
      <text>
        <t>Flow in l/s multiplied by head in kPa gives watts; divided by 1000 for kW.</t>
      </text>
    </comment>
    <comment ref="Y4" authorId="0" shapeId="0">
      <text>
        <t>Hydraulic power divided by absorbed power.</t>
      </text>
    </comment>
    <comment ref="Z4" authorId="0" shapeId="0">
      <text>
        <t>Absorbed power as a percentage of motor rating. Watch anything above 90%.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PUMP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PUMP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Pump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7.6" customWidth="1" min="3" max="3"/>
    <col width="10.4" customWidth="1" min="4" max="4"/>
    <col width="10.4" customWidth="1" min="5" max="5"/>
    <col width="9.600000000000001" customWidth="1" min="6" max="6"/>
    <col width="10.4" customWidth="1" min="7" max="7"/>
    <col width="10.4" customWidth="1" min="8" max="8"/>
    <col width="9.600000000000001" customWidth="1" min="9" max="9"/>
    <col width="9.600000000000001" customWidth="1" min="10" max="10"/>
    <col width="20" customWidth="1" min="11" max="11"/>
    <col width="14.4" customWidth="1" min="12" max="12"/>
    <col width="12.8" customWidth="1" min="13" max="13"/>
    <col width="10.4" customWidth="1" min="14" max="14"/>
    <col width="11.2" customWidth="1" min="15" max="15"/>
    <col width="11.2" customWidth="1" min="16" max="16"/>
    <col width="12" customWidth="1" min="17" max="17"/>
    <col width="10.4" customWidth="1" min="18" max="18"/>
    <col width="8.800000000000001" customWidth="1" min="19" max="19"/>
    <col width="8.800000000000001" customWidth="1" min="20" max="20"/>
    <col width="8.800000000000001" customWidth="1" min="21" max="21"/>
    <col width="8.800000000000001" customWidth="1" min="22" max="22"/>
    <col width="9.600000000000001" customWidth="1" min="23" max="23"/>
    <col width="10.4" customWidth="1" min="24" max="24"/>
    <col width="10.4" customWidth="1" min="25" max="25"/>
    <col width="9.600000000000001" customWidth="1" min="26" max="26"/>
  </cols>
  <sheetData>
    <row r="1">
      <c r="A1" s="14" t="inlineStr">
        <is>
          <t>Pump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Pump Reference</t>
        </is>
      </c>
      <c r="B4" s="16" t="inlineStr">
        <is>
          <t>Location</t>
        </is>
      </c>
      <c r="C4" s="16" t="inlineStr">
        <is>
          <t>System Served</t>
        </is>
      </c>
      <c r="D4" s="16" t="inlineStr">
        <is>
          <t>Arrangement</t>
        </is>
      </c>
      <c r="E4" s="16" t="inlineStr">
        <is>
          <t>Fluid</t>
        </is>
      </c>
      <c r="F4" s="16" t="inlineStr">
        <is>
          <t>Glycol Content</t>
        </is>
      </c>
      <c r="G4" s="16" t="inlineStr">
        <is>
          <t>Fluid Temperature</t>
        </is>
      </c>
      <c r="H4" s="16" t="inlineStr">
        <is>
          <t>Duty Flow Rate</t>
        </is>
      </c>
      <c r="I4" s="16" t="inlineStr">
        <is>
          <t>Duty Head</t>
        </is>
      </c>
      <c r="J4" s="16" t="inlineStr">
        <is>
          <t>Absorbed Power</t>
        </is>
      </c>
      <c r="K4" s="16" t="inlineStr">
        <is>
          <t>Model Reference</t>
        </is>
      </c>
      <c r="L4" s="17" t="inlineStr">
        <is>
          <t>Manufacturer</t>
        </is>
      </c>
      <c r="M4" s="17" t="inlineStr">
        <is>
          <t>Pump Type</t>
        </is>
      </c>
      <c r="N4" s="17" t="inlineStr">
        <is>
          <t>Motor Rated Power</t>
        </is>
      </c>
      <c r="O4" s="17" t="inlineStr">
        <is>
          <t>Motor Efficiency Class</t>
        </is>
      </c>
      <c r="P4" s="17" t="inlineStr">
        <is>
          <t>Speed Control</t>
        </is>
      </c>
      <c r="Q4" s="17" t="inlineStr">
        <is>
          <t>Electrical Supply</t>
        </is>
      </c>
      <c r="R4" s="17" t="inlineStr">
        <is>
          <t>Connection Size</t>
        </is>
      </c>
      <c r="S4" s="17" t="inlineStr">
        <is>
          <t>Length</t>
        </is>
      </c>
      <c r="T4" s="17" t="inlineStr">
        <is>
          <t>Width</t>
        </is>
      </c>
      <c r="U4" s="17" t="inlineStr">
        <is>
          <t>Height</t>
        </is>
      </c>
      <c r="V4" s="17" t="inlineStr">
        <is>
          <t>Weight</t>
        </is>
      </c>
      <c r="W4" s="18" t="inlineStr">
        <is>
          <t>Duty Head</t>
        </is>
      </c>
      <c r="X4" s="18" t="inlineStr">
        <is>
          <t>Hydraulic Power</t>
        </is>
      </c>
      <c r="Y4" s="18" t="inlineStr">
        <is>
          <t>Overall Efficiency</t>
        </is>
      </c>
      <c r="Z4" s="18" t="inlineStr">
        <is>
          <t>Motor Loading</t>
        </is>
      </c>
    </row>
    <row r="5">
      <c r="A5" s="19" t="inlineStr"/>
      <c r="B5" s="19" t="inlineStr"/>
      <c r="C5" s="19" t="inlineStr"/>
      <c r="D5" s="19" t="inlineStr"/>
      <c r="E5" s="19" t="inlineStr"/>
      <c r="F5" s="19" t="inlineStr">
        <is>
          <t>%</t>
        </is>
      </c>
      <c r="G5" s="19" t="inlineStr">
        <is>
          <t>°C</t>
        </is>
      </c>
      <c r="H5" s="19" t="inlineStr">
        <is>
          <t>l/s</t>
        </is>
      </c>
      <c r="I5" s="19" t="inlineStr">
        <is>
          <t>kPa</t>
        </is>
      </c>
      <c r="J5" s="19" t="inlineStr">
        <is>
          <t>kW</t>
        </is>
      </c>
      <c r="K5" s="19" t="inlineStr"/>
      <c r="L5" s="20" t="inlineStr"/>
      <c r="M5" s="20" t="inlineStr"/>
      <c r="N5" s="20" t="inlineStr">
        <is>
          <t>kW</t>
        </is>
      </c>
      <c r="O5" s="20" t="inlineStr"/>
      <c r="P5" s="20" t="inlineStr"/>
      <c r="Q5" s="20" t="inlineStr"/>
      <c r="R5" s="20" t="inlineStr">
        <is>
          <t>mm</t>
        </is>
      </c>
      <c r="S5" s="20" t="inlineStr">
        <is>
          <t>mm</t>
        </is>
      </c>
      <c r="T5" s="20" t="inlineStr">
        <is>
          <t>mm</t>
        </is>
      </c>
      <c r="U5" s="20" t="inlineStr">
        <is>
          <t>mm</t>
        </is>
      </c>
      <c r="V5" s="20" t="inlineStr">
        <is>
          <t>kg</t>
        </is>
      </c>
      <c r="W5" s="21" t="inlineStr">
        <is>
          <t>m</t>
        </is>
      </c>
      <c r="X5" s="21" t="inlineStr">
        <is>
          <t>kW</t>
        </is>
      </c>
      <c r="Y5" s="21" t="inlineStr">
        <is>
          <t>%</t>
        </is>
      </c>
      <c r="Z5" s="21" t="inlineStr">
        <is>
          <t>%</t>
        </is>
      </c>
    </row>
    <row r="6">
      <c r="A6" s="22" t="inlineStr">
        <is>
          <t>P-01A</t>
        </is>
      </c>
      <c r="B6" s="22" t="inlineStr">
        <is>
          <t>Level 03 Plantroom</t>
        </is>
      </c>
      <c r="C6" s="22" t="inlineStr">
        <is>
          <t>LPHW Heating Circuit</t>
        </is>
      </c>
      <c r="D6" s="22" t="inlineStr">
        <is>
          <t>Duty / Standby</t>
        </is>
      </c>
      <c r="E6" s="22" t="inlineStr">
        <is>
          <t>Water</t>
        </is>
      </c>
      <c r="F6" s="22" t="n">
        <v>0</v>
      </c>
      <c r="G6" s="22" t="n">
        <v>70</v>
      </c>
      <c r="H6" s="22" t="n">
        <v>3.6</v>
      </c>
      <c r="I6" s="22" t="n">
        <v>145</v>
      </c>
      <c r="J6" s="22" t="n">
        <v>0.92</v>
      </c>
      <c r="K6" s="22" t="inlineStr">
        <is>
          <t>PUMP-EXAMPLE-01</t>
        </is>
      </c>
      <c r="L6" s="23">
        <f>IF($K6="","",IFERROR(INDEX(Library!$B$3:$B$2000,MATCH($K6,Library!$A$3:$A$2000,0)),"NOT FOUND"))</f>
        <v/>
      </c>
      <c r="M6" s="23">
        <f>IF($K6="","",IFERROR(INDEX(Library!$C$3:$C$2000,MATCH($K6,Library!$A$3:$A$2000,0)),"NOT FOUND"))</f>
        <v/>
      </c>
      <c r="N6" s="23">
        <f>IF($K6="","",IFERROR(INDEX(Library!$D$3:$D$2000,MATCH($K6,Library!$A$3:$A$2000,0)),"NOT FOUND"))</f>
        <v/>
      </c>
      <c r="O6" s="23">
        <f>IF($K6="","",IFERROR(INDEX(Library!$E$3:$E$2000,MATCH($K6,Library!$A$3:$A$2000,0)),"NOT FOUND"))</f>
        <v/>
      </c>
      <c r="P6" s="23">
        <f>IF($K6="","",IFERROR(INDEX(Library!$F$3:$F$2000,MATCH($K6,Library!$A$3:$A$2000,0)),"NOT FOUND"))</f>
        <v/>
      </c>
      <c r="Q6" s="23">
        <f>IF($K6="","",IFERROR(INDEX(Library!$G$3:$G$2000,MATCH($K6,Library!$A$3:$A$2000,0)),"NOT FOUND"))</f>
        <v/>
      </c>
      <c r="R6" s="23">
        <f>IF($K6="","",IFERROR(INDEX(Library!$H$3:$H$2000,MATCH($K6,Library!$A$3:$A$2000,0)),"NOT FOUND"))</f>
        <v/>
      </c>
      <c r="S6" s="23">
        <f>IF($K6="","",IFERROR(INDEX(Library!$I$3:$I$2000,MATCH($K6,Library!$A$3:$A$2000,0)),"NOT FOUND"))</f>
        <v/>
      </c>
      <c r="T6" s="23">
        <f>IF($K6="","",IFERROR(INDEX(Library!$J$3:$J$2000,MATCH($K6,Library!$A$3:$A$2000,0)),"NOT FOUND"))</f>
        <v/>
      </c>
      <c r="U6" s="23">
        <f>IF($K6="","",IFERROR(INDEX(Library!$K$3:$K$2000,MATCH($K6,Library!$A$3:$A$2000,0)),"NOT FOUND"))</f>
        <v/>
      </c>
      <c r="V6" s="23">
        <f>IF($K6="","",IFERROR(INDEX(Library!$L$3:$L$2000,MATCH($K6,Library!$A$3:$A$2000,0)),"NOT FOUND"))</f>
        <v/>
      </c>
      <c r="W6" s="24">
        <f>IF($A6="","",IFERROR($I6/9.81,""))</f>
        <v/>
      </c>
      <c r="X6" s="24">
        <f>IF($A6="","",IFERROR($H6*$I6/1000,""))</f>
        <v/>
      </c>
      <c r="Y6" s="24">
        <f>IF($A6="","",IFERROR(100*$H6*$I6/1000/$J6,""))</f>
        <v/>
      </c>
      <c r="Z6" s="24">
        <f>IF($A6="","",IFERROR(100*$J6/$N6,""))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3">
        <f>IF($K7="","",IFERROR(INDEX(Library!$B$3:$B$2000,MATCH($K7,Library!$A$3:$A$2000,0)),"NOT FOUND"))</f>
        <v/>
      </c>
      <c r="M7" s="23">
        <f>IF($K7="","",IFERROR(INDEX(Library!$C$3:$C$2000,MATCH($K7,Library!$A$3:$A$2000,0)),"NOT FOUND"))</f>
        <v/>
      </c>
      <c r="N7" s="23">
        <f>IF($K7="","",IFERROR(INDEX(Library!$D$3:$D$2000,MATCH($K7,Library!$A$3:$A$2000,0)),"NOT FOUND"))</f>
        <v/>
      </c>
      <c r="O7" s="23">
        <f>IF($K7="","",IFERROR(INDEX(Library!$E$3:$E$2000,MATCH($K7,Library!$A$3:$A$2000,0)),"NOT FOUND"))</f>
        <v/>
      </c>
      <c r="P7" s="23">
        <f>IF($K7="","",IFERROR(INDEX(Library!$F$3:$F$2000,MATCH($K7,Library!$A$3:$A$2000,0)),"NOT FOUND"))</f>
        <v/>
      </c>
      <c r="Q7" s="23">
        <f>IF($K7="","",IFERROR(INDEX(Library!$G$3:$G$2000,MATCH($K7,Library!$A$3:$A$2000,0)),"NOT FOUND"))</f>
        <v/>
      </c>
      <c r="R7" s="23">
        <f>IF($K7="","",IFERROR(INDEX(Library!$H$3:$H$2000,MATCH($K7,Library!$A$3:$A$2000,0)),"NOT FOUND"))</f>
        <v/>
      </c>
      <c r="S7" s="23">
        <f>IF($K7="","",IFERROR(INDEX(Library!$I$3:$I$2000,MATCH($K7,Library!$A$3:$A$2000,0)),"NOT FOUND"))</f>
        <v/>
      </c>
      <c r="T7" s="23">
        <f>IF($K7="","",IFERROR(INDEX(Library!$J$3:$J$2000,MATCH($K7,Library!$A$3:$A$2000,0)),"NOT FOUND"))</f>
        <v/>
      </c>
      <c r="U7" s="23">
        <f>IF($K7="","",IFERROR(INDEX(Library!$K$3:$K$2000,MATCH($K7,Library!$A$3:$A$2000,0)),"NOT FOUND"))</f>
        <v/>
      </c>
      <c r="V7" s="23">
        <f>IF($K7="","",IFERROR(INDEX(Library!$L$3:$L$2000,MATCH($K7,Library!$A$3:$A$2000,0)),"NOT FOUND"))</f>
        <v/>
      </c>
      <c r="W7" s="24">
        <f>IF($A7="","",IFERROR($I7/9.81,""))</f>
        <v/>
      </c>
      <c r="X7" s="24">
        <f>IF($A7="","",IFERROR($H7*$I7/1000,""))</f>
        <v/>
      </c>
      <c r="Y7" s="24">
        <f>IF($A7="","",IFERROR(100*$H7*$I7/1000/$J7,""))</f>
        <v/>
      </c>
      <c r="Z7" s="24">
        <f>IF($A7="","",IFERROR(100*$J7/$N7,""))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3">
        <f>IF($K8="","",IFERROR(INDEX(Library!$B$3:$B$2000,MATCH($K8,Library!$A$3:$A$2000,0)),"NOT FOUND"))</f>
        <v/>
      </c>
      <c r="M8" s="23">
        <f>IF($K8="","",IFERROR(INDEX(Library!$C$3:$C$2000,MATCH($K8,Library!$A$3:$A$2000,0)),"NOT FOUND"))</f>
        <v/>
      </c>
      <c r="N8" s="23">
        <f>IF($K8="","",IFERROR(INDEX(Library!$D$3:$D$2000,MATCH($K8,Library!$A$3:$A$2000,0)),"NOT FOUND"))</f>
        <v/>
      </c>
      <c r="O8" s="23">
        <f>IF($K8="","",IFERROR(INDEX(Library!$E$3:$E$2000,MATCH($K8,Library!$A$3:$A$2000,0)),"NOT FOUND"))</f>
        <v/>
      </c>
      <c r="P8" s="23">
        <f>IF($K8="","",IFERROR(INDEX(Library!$F$3:$F$2000,MATCH($K8,Library!$A$3:$A$2000,0)),"NOT FOUND"))</f>
        <v/>
      </c>
      <c r="Q8" s="23">
        <f>IF($K8="","",IFERROR(INDEX(Library!$G$3:$G$2000,MATCH($K8,Library!$A$3:$A$2000,0)),"NOT FOUND"))</f>
        <v/>
      </c>
      <c r="R8" s="23">
        <f>IF($K8="","",IFERROR(INDEX(Library!$H$3:$H$2000,MATCH($K8,Library!$A$3:$A$2000,0)),"NOT FOUND"))</f>
        <v/>
      </c>
      <c r="S8" s="23">
        <f>IF($K8="","",IFERROR(INDEX(Library!$I$3:$I$2000,MATCH($K8,Library!$A$3:$A$2000,0)),"NOT FOUND"))</f>
        <v/>
      </c>
      <c r="T8" s="23">
        <f>IF($K8="","",IFERROR(INDEX(Library!$J$3:$J$2000,MATCH($K8,Library!$A$3:$A$2000,0)),"NOT FOUND"))</f>
        <v/>
      </c>
      <c r="U8" s="23">
        <f>IF($K8="","",IFERROR(INDEX(Library!$K$3:$K$2000,MATCH($K8,Library!$A$3:$A$2000,0)),"NOT FOUND"))</f>
        <v/>
      </c>
      <c r="V8" s="23">
        <f>IF($K8="","",IFERROR(INDEX(Library!$L$3:$L$2000,MATCH($K8,Library!$A$3:$A$2000,0)),"NOT FOUND"))</f>
        <v/>
      </c>
      <c r="W8" s="24">
        <f>IF($A8="","",IFERROR($I8/9.81,""))</f>
        <v/>
      </c>
      <c r="X8" s="24">
        <f>IF($A8="","",IFERROR($H8*$I8/1000,""))</f>
        <v/>
      </c>
      <c r="Y8" s="24">
        <f>IF($A8="","",IFERROR(100*$H8*$I8/1000/$J8,""))</f>
        <v/>
      </c>
      <c r="Z8" s="24">
        <f>IF($A8="","",IFERROR(100*$J8/$N8,""))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3">
        <f>IF($K9="","",IFERROR(INDEX(Library!$B$3:$B$2000,MATCH($K9,Library!$A$3:$A$2000,0)),"NOT FOUND"))</f>
        <v/>
      </c>
      <c r="M9" s="23">
        <f>IF($K9="","",IFERROR(INDEX(Library!$C$3:$C$2000,MATCH($K9,Library!$A$3:$A$2000,0)),"NOT FOUND"))</f>
        <v/>
      </c>
      <c r="N9" s="23">
        <f>IF($K9="","",IFERROR(INDEX(Library!$D$3:$D$2000,MATCH($K9,Library!$A$3:$A$2000,0)),"NOT FOUND"))</f>
        <v/>
      </c>
      <c r="O9" s="23">
        <f>IF($K9="","",IFERROR(INDEX(Library!$E$3:$E$2000,MATCH($K9,Library!$A$3:$A$2000,0)),"NOT FOUND"))</f>
        <v/>
      </c>
      <c r="P9" s="23">
        <f>IF($K9="","",IFERROR(INDEX(Library!$F$3:$F$2000,MATCH($K9,Library!$A$3:$A$2000,0)),"NOT FOUND"))</f>
        <v/>
      </c>
      <c r="Q9" s="23">
        <f>IF($K9="","",IFERROR(INDEX(Library!$G$3:$G$2000,MATCH($K9,Library!$A$3:$A$2000,0)),"NOT FOUND"))</f>
        <v/>
      </c>
      <c r="R9" s="23">
        <f>IF($K9="","",IFERROR(INDEX(Library!$H$3:$H$2000,MATCH($K9,Library!$A$3:$A$2000,0)),"NOT FOUND"))</f>
        <v/>
      </c>
      <c r="S9" s="23">
        <f>IF($K9="","",IFERROR(INDEX(Library!$I$3:$I$2000,MATCH($K9,Library!$A$3:$A$2000,0)),"NOT FOUND"))</f>
        <v/>
      </c>
      <c r="T9" s="23">
        <f>IF($K9="","",IFERROR(INDEX(Library!$J$3:$J$2000,MATCH($K9,Library!$A$3:$A$2000,0)),"NOT FOUND"))</f>
        <v/>
      </c>
      <c r="U9" s="23">
        <f>IF($K9="","",IFERROR(INDEX(Library!$K$3:$K$2000,MATCH($K9,Library!$A$3:$A$2000,0)),"NOT FOUND"))</f>
        <v/>
      </c>
      <c r="V9" s="23">
        <f>IF($K9="","",IFERROR(INDEX(Library!$L$3:$L$2000,MATCH($K9,Library!$A$3:$A$2000,0)),"NOT FOUND"))</f>
        <v/>
      </c>
      <c r="W9" s="24">
        <f>IF($A9="","",IFERROR($I9/9.81,""))</f>
        <v/>
      </c>
      <c r="X9" s="24">
        <f>IF($A9="","",IFERROR($H9*$I9/1000,""))</f>
        <v/>
      </c>
      <c r="Y9" s="24">
        <f>IF($A9="","",IFERROR(100*$H9*$I9/1000/$J9,""))</f>
        <v/>
      </c>
      <c r="Z9" s="24">
        <f>IF($A9="","",IFERROR(100*$J9/$N9,""))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>
        <f>IF($K10="","",IFERROR(INDEX(Library!$B$3:$B$2000,MATCH($K10,Library!$A$3:$A$2000,0)),"NOT FOUND"))</f>
        <v/>
      </c>
      <c r="M10" s="23">
        <f>IF($K10="","",IFERROR(INDEX(Library!$C$3:$C$2000,MATCH($K10,Library!$A$3:$A$2000,0)),"NOT FOUND"))</f>
        <v/>
      </c>
      <c r="N10" s="23">
        <f>IF($K10="","",IFERROR(INDEX(Library!$D$3:$D$2000,MATCH($K10,Library!$A$3:$A$2000,0)),"NOT FOUND"))</f>
        <v/>
      </c>
      <c r="O10" s="23">
        <f>IF($K10="","",IFERROR(INDEX(Library!$E$3:$E$2000,MATCH($K10,Library!$A$3:$A$2000,0)),"NOT FOUND"))</f>
        <v/>
      </c>
      <c r="P10" s="23">
        <f>IF($K10="","",IFERROR(INDEX(Library!$F$3:$F$2000,MATCH($K10,Library!$A$3:$A$2000,0)),"NOT FOUND"))</f>
        <v/>
      </c>
      <c r="Q10" s="23">
        <f>IF($K10="","",IFERROR(INDEX(Library!$G$3:$G$2000,MATCH($K10,Library!$A$3:$A$2000,0)),"NOT FOUND"))</f>
        <v/>
      </c>
      <c r="R10" s="23">
        <f>IF($K10="","",IFERROR(INDEX(Library!$H$3:$H$2000,MATCH($K10,Library!$A$3:$A$2000,0)),"NOT FOUND"))</f>
        <v/>
      </c>
      <c r="S10" s="23">
        <f>IF($K10="","",IFERROR(INDEX(Library!$I$3:$I$2000,MATCH($K10,Library!$A$3:$A$2000,0)),"NOT FOUND"))</f>
        <v/>
      </c>
      <c r="T10" s="23">
        <f>IF($K10="","",IFERROR(INDEX(Library!$J$3:$J$2000,MATCH($K10,Library!$A$3:$A$2000,0)),"NOT FOUND"))</f>
        <v/>
      </c>
      <c r="U10" s="23">
        <f>IF($K10="","",IFERROR(INDEX(Library!$K$3:$K$2000,MATCH($K10,Library!$A$3:$A$2000,0)),"NOT FOUND"))</f>
        <v/>
      </c>
      <c r="V10" s="23">
        <f>IF($K10="","",IFERROR(INDEX(Library!$L$3:$L$2000,MATCH($K10,Library!$A$3:$A$2000,0)),"NOT FOUND"))</f>
        <v/>
      </c>
      <c r="W10" s="24">
        <f>IF($A10="","",IFERROR($I10/9.81,""))</f>
        <v/>
      </c>
      <c r="X10" s="24">
        <f>IF($A10="","",IFERROR($H10*$I10/1000,""))</f>
        <v/>
      </c>
      <c r="Y10" s="24">
        <f>IF($A10="","",IFERROR(100*$H10*$I10/1000/$J10,""))</f>
        <v/>
      </c>
      <c r="Z10" s="24">
        <f>IF($A10="","",IFERROR(100*$J10/$N10,""))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3">
        <f>IF($K11="","",IFERROR(INDEX(Library!$B$3:$B$2000,MATCH($K11,Library!$A$3:$A$2000,0)),"NOT FOUND"))</f>
        <v/>
      </c>
      <c r="M11" s="23">
        <f>IF($K11="","",IFERROR(INDEX(Library!$C$3:$C$2000,MATCH($K11,Library!$A$3:$A$2000,0)),"NOT FOUND"))</f>
        <v/>
      </c>
      <c r="N11" s="23">
        <f>IF($K11="","",IFERROR(INDEX(Library!$D$3:$D$2000,MATCH($K11,Library!$A$3:$A$2000,0)),"NOT FOUND"))</f>
        <v/>
      </c>
      <c r="O11" s="23">
        <f>IF($K11="","",IFERROR(INDEX(Library!$E$3:$E$2000,MATCH($K11,Library!$A$3:$A$2000,0)),"NOT FOUND"))</f>
        <v/>
      </c>
      <c r="P11" s="23">
        <f>IF($K11="","",IFERROR(INDEX(Library!$F$3:$F$2000,MATCH($K11,Library!$A$3:$A$2000,0)),"NOT FOUND"))</f>
        <v/>
      </c>
      <c r="Q11" s="23">
        <f>IF($K11="","",IFERROR(INDEX(Library!$G$3:$G$2000,MATCH($K11,Library!$A$3:$A$2000,0)),"NOT FOUND"))</f>
        <v/>
      </c>
      <c r="R11" s="23">
        <f>IF($K11="","",IFERROR(INDEX(Library!$H$3:$H$2000,MATCH($K11,Library!$A$3:$A$2000,0)),"NOT FOUND"))</f>
        <v/>
      </c>
      <c r="S11" s="23">
        <f>IF($K11="","",IFERROR(INDEX(Library!$I$3:$I$2000,MATCH($K11,Library!$A$3:$A$2000,0)),"NOT FOUND"))</f>
        <v/>
      </c>
      <c r="T11" s="23">
        <f>IF($K11="","",IFERROR(INDEX(Library!$J$3:$J$2000,MATCH($K11,Library!$A$3:$A$2000,0)),"NOT FOUND"))</f>
        <v/>
      </c>
      <c r="U11" s="23">
        <f>IF($K11="","",IFERROR(INDEX(Library!$K$3:$K$2000,MATCH($K11,Library!$A$3:$A$2000,0)),"NOT FOUND"))</f>
        <v/>
      </c>
      <c r="V11" s="23">
        <f>IF($K11="","",IFERROR(INDEX(Library!$L$3:$L$2000,MATCH($K11,Library!$A$3:$A$2000,0)),"NOT FOUND"))</f>
        <v/>
      </c>
      <c r="W11" s="24">
        <f>IF($A11="","",IFERROR($I11/9.81,""))</f>
        <v/>
      </c>
      <c r="X11" s="24">
        <f>IF($A11="","",IFERROR($H11*$I11/1000,""))</f>
        <v/>
      </c>
      <c r="Y11" s="24">
        <f>IF($A11="","",IFERROR(100*$H11*$I11/1000/$J11,""))</f>
        <v/>
      </c>
      <c r="Z11" s="24">
        <f>IF($A11="","",IFERROR(100*$J11/$N11,""))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3">
        <f>IF($K12="","",IFERROR(INDEX(Library!$B$3:$B$2000,MATCH($K12,Library!$A$3:$A$2000,0)),"NOT FOUND"))</f>
        <v/>
      </c>
      <c r="M12" s="23">
        <f>IF($K12="","",IFERROR(INDEX(Library!$C$3:$C$2000,MATCH($K12,Library!$A$3:$A$2000,0)),"NOT FOUND"))</f>
        <v/>
      </c>
      <c r="N12" s="23">
        <f>IF($K12="","",IFERROR(INDEX(Library!$D$3:$D$2000,MATCH($K12,Library!$A$3:$A$2000,0)),"NOT FOUND"))</f>
        <v/>
      </c>
      <c r="O12" s="23">
        <f>IF($K12="","",IFERROR(INDEX(Library!$E$3:$E$2000,MATCH($K12,Library!$A$3:$A$2000,0)),"NOT FOUND"))</f>
        <v/>
      </c>
      <c r="P12" s="23">
        <f>IF($K12="","",IFERROR(INDEX(Library!$F$3:$F$2000,MATCH($K12,Library!$A$3:$A$2000,0)),"NOT FOUND"))</f>
        <v/>
      </c>
      <c r="Q12" s="23">
        <f>IF($K12="","",IFERROR(INDEX(Library!$G$3:$G$2000,MATCH($K12,Library!$A$3:$A$2000,0)),"NOT FOUND"))</f>
        <v/>
      </c>
      <c r="R12" s="23">
        <f>IF($K12="","",IFERROR(INDEX(Library!$H$3:$H$2000,MATCH($K12,Library!$A$3:$A$2000,0)),"NOT FOUND"))</f>
        <v/>
      </c>
      <c r="S12" s="23">
        <f>IF($K12="","",IFERROR(INDEX(Library!$I$3:$I$2000,MATCH($K12,Library!$A$3:$A$2000,0)),"NOT FOUND"))</f>
        <v/>
      </c>
      <c r="T12" s="23">
        <f>IF($K12="","",IFERROR(INDEX(Library!$J$3:$J$2000,MATCH($K12,Library!$A$3:$A$2000,0)),"NOT FOUND"))</f>
        <v/>
      </c>
      <c r="U12" s="23">
        <f>IF($K12="","",IFERROR(INDEX(Library!$K$3:$K$2000,MATCH($K12,Library!$A$3:$A$2000,0)),"NOT FOUND"))</f>
        <v/>
      </c>
      <c r="V12" s="23">
        <f>IF($K12="","",IFERROR(INDEX(Library!$L$3:$L$2000,MATCH($K12,Library!$A$3:$A$2000,0)),"NOT FOUND"))</f>
        <v/>
      </c>
      <c r="W12" s="24">
        <f>IF($A12="","",IFERROR($I12/9.81,""))</f>
        <v/>
      </c>
      <c r="X12" s="24">
        <f>IF($A12="","",IFERROR($H12*$I12/1000,""))</f>
        <v/>
      </c>
      <c r="Y12" s="24">
        <f>IF($A12="","",IFERROR(100*$H12*$I12/1000/$J12,""))</f>
        <v/>
      </c>
      <c r="Z12" s="24">
        <f>IF($A12="","",IFERROR(100*$J12/$N12,""))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3">
        <f>IF($K13="","",IFERROR(INDEX(Library!$B$3:$B$2000,MATCH($K13,Library!$A$3:$A$2000,0)),"NOT FOUND"))</f>
        <v/>
      </c>
      <c r="M13" s="23">
        <f>IF($K13="","",IFERROR(INDEX(Library!$C$3:$C$2000,MATCH($K13,Library!$A$3:$A$2000,0)),"NOT FOUND"))</f>
        <v/>
      </c>
      <c r="N13" s="23">
        <f>IF($K13="","",IFERROR(INDEX(Library!$D$3:$D$2000,MATCH($K13,Library!$A$3:$A$2000,0)),"NOT FOUND"))</f>
        <v/>
      </c>
      <c r="O13" s="23">
        <f>IF($K13="","",IFERROR(INDEX(Library!$E$3:$E$2000,MATCH($K13,Library!$A$3:$A$2000,0)),"NOT FOUND"))</f>
        <v/>
      </c>
      <c r="P13" s="23">
        <f>IF($K13="","",IFERROR(INDEX(Library!$F$3:$F$2000,MATCH($K13,Library!$A$3:$A$2000,0)),"NOT FOUND"))</f>
        <v/>
      </c>
      <c r="Q13" s="23">
        <f>IF($K13="","",IFERROR(INDEX(Library!$G$3:$G$2000,MATCH($K13,Library!$A$3:$A$2000,0)),"NOT FOUND"))</f>
        <v/>
      </c>
      <c r="R13" s="23">
        <f>IF($K13="","",IFERROR(INDEX(Library!$H$3:$H$2000,MATCH($K13,Library!$A$3:$A$2000,0)),"NOT FOUND"))</f>
        <v/>
      </c>
      <c r="S13" s="23">
        <f>IF($K13="","",IFERROR(INDEX(Library!$I$3:$I$2000,MATCH($K13,Library!$A$3:$A$2000,0)),"NOT FOUND"))</f>
        <v/>
      </c>
      <c r="T13" s="23">
        <f>IF($K13="","",IFERROR(INDEX(Library!$J$3:$J$2000,MATCH($K13,Library!$A$3:$A$2000,0)),"NOT FOUND"))</f>
        <v/>
      </c>
      <c r="U13" s="23">
        <f>IF($K13="","",IFERROR(INDEX(Library!$K$3:$K$2000,MATCH($K13,Library!$A$3:$A$2000,0)),"NOT FOUND"))</f>
        <v/>
      </c>
      <c r="V13" s="23">
        <f>IF($K13="","",IFERROR(INDEX(Library!$L$3:$L$2000,MATCH($K13,Library!$A$3:$A$2000,0)),"NOT FOUND"))</f>
        <v/>
      </c>
      <c r="W13" s="24">
        <f>IF($A13="","",IFERROR($I13/9.81,""))</f>
        <v/>
      </c>
      <c r="X13" s="24">
        <f>IF($A13="","",IFERROR($H13*$I13/1000,""))</f>
        <v/>
      </c>
      <c r="Y13" s="24">
        <f>IF($A13="","",IFERROR(100*$H13*$I13/1000/$J13,""))</f>
        <v/>
      </c>
      <c r="Z13" s="24">
        <f>IF($A13="","",IFERROR(100*$J13/$N13,""))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3">
        <f>IF($K14="","",IFERROR(INDEX(Library!$B$3:$B$2000,MATCH($K14,Library!$A$3:$A$2000,0)),"NOT FOUND"))</f>
        <v/>
      </c>
      <c r="M14" s="23">
        <f>IF($K14="","",IFERROR(INDEX(Library!$C$3:$C$2000,MATCH($K14,Library!$A$3:$A$2000,0)),"NOT FOUND"))</f>
        <v/>
      </c>
      <c r="N14" s="23">
        <f>IF($K14="","",IFERROR(INDEX(Library!$D$3:$D$2000,MATCH($K14,Library!$A$3:$A$2000,0)),"NOT FOUND"))</f>
        <v/>
      </c>
      <c r="O14" s="23">
        <f>IF($K14="","",IFERROR(INDEX(Library!$E$3:$E$2000,MATCH($K14,Library!$A$3:$A$2000,0)),"NOT FOUND"))</f>
        <v/>
      </c>
      <c r="P14" s="23">
        <f>IF($K14="","",IFERROR(INDEX(Library!$F$3:$F$2000,MATCH($K14,Library!$A$3:$A$2000,0)),"NOT FOUND"))</f>
        <v/>
      </c>
      <c r="Q14" s="23">
        <f>IF($K14="","",IFERROR(INDEX(Library!$G$3:$G$2000,MATCH($K14,Library!$A$3:$A$2000,0)),"NOT FOUND"))</f>
        <v/>
      </c>
      <c r="R14" s="23">
        <f>IF($K14="","",IFERROR(INDEX(Library!$H$3:$H$2000,MATCH($K14,Library!$A$3:$A$2000,0)),"NOT FOUND"))</f>
        <v/>
      </c>
      <c r="S14" s="23">
        <f>IF($K14="","",IFERROR(INDEX(Library!$I$3:$I$2000,MATCH($K14,Library!$A$3:$A$2000,0)),"NOT FOUND"))</f>
        <v/>
      </c>
      <c r="T14" s="23">
        <f>IF($K14="","",IFERROR(INDEX(Library!$J$3:$J$2000,MATCH($K14,Library!$A$3:$A$2000,0)),"NOT FOUND"))</f>
        <v/>
      </c>
      <c r="U14" s="23">
        <f>IF($K14="","",IFERROR(INDEX(Library!$K$3:$K$2000,MATCH($K14,Library!$A$3:$A$2000,0)),"NOT FOUND"))</f>
        <v/>
      </c>
      <c r="V14" s="23">
        <f>IF($K14="","",IFERROR(INDEX(Library!$L$3:$L$2000,MATCH($K14,Library!$A$3:$A$2000,0)),"NOT FOUND"))</f>
        <v/>
      </c>
      <c r="W14" s="24">
        <f>IF($A14="","",IFERROR($I14/9.81,""))</f>
        <v/>
      </c>
      <c r="X14" s="24">
        <f>IF($A14="","",IFERROR($H14*$I14/1000,""))</f>
        <v/>
      </c>
      <c r="Y14" s="24">
        <f>IF($A14="","",IFERROR(100*$H14*$I14/1000/$J14,""))</f>
        <v/>
      </c>
      <c r="Z14" s="24">
        <f>IF($A14="","",IFERROR(100*$J14/$N14,""))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>
        <f>IF($K15="","",IFERROR(INDEX(Library!$B$3:$B$2000,MATCH($K15,Library!$A$3:$A$2000,0)),"NOT FOUND"))</f>
        <v/>
      </c>
      <c r="M15" s="23">
        <f>IF($K15="","",IFERROR(INDEX(Library!$C$3:$C$2000,MATCH($K15,Library!$A$3:$A$2000,0)),"NOT FOUND"))</f>
        <v/>
      </c>
      <c r="N15" s="23">
        <f>IF($K15="","",IFERROR(INDEX(Library!$D$3:$D$2000,MATCH($K15,Library!$A$3:$A$2000,0)),"NOT FOUND"))</f>
        <v/>
      </c>
      <c r="O15" s="23">
        <f>IF($K15="","",IFERROR(INDEX(Library!$E$3:$E$2000,MATCH($K15,Library!$A$3:$A$2000,0)),"NOT FOUND"))</f>
        <v/>
      </c>
      <c r="P15" s="23">
        <f>IF($K15="","",IFERROR(INDEX(Library!$F$3:$F$2000,MATCH($K15,Library!$A$3:$A$2000,0)),"NOT FOUND"))</f>
        <v/>
      </c>
      <c r="Q15" s="23">
        <f>IF($K15="","",IFERROR(INDEX(Library!$G$3:$G$2000,MATCH($K15,Library!$A$3:$A$2000,0)),"NOT FOUND"))</f>
        <v/>
      </c>
      <c r="R15" s="23">
        <f>IF($K15="","",IFERROR(INDEX(Library!$H$3:$H$2000,MATCH($K15,Library!$A$3:$A$2000,0)),"NOT FOUND"))</f>
        <v/>
      </c>
      <c r="S15" s="23">
        <f>IF($K15="","",IFERROR(INDEX(Library!$I$3:$I$2000,MATCH($K15,Library!$A$3:$A$2000,0)),"NOT FOUND"))</f>
        <v/>
      </c>
      <c r="T15" s="23">
        <f>IF($K15="","",IFERROR(INDEX(Library!$J$3:$J$2000,MATCH($K15,Library!$A$3:$A$2000,0)),"NOT FOUND"))</f>
        <v/>
      </c>
      <c r="U15" s="23">
        <f>IF($K15="","",IFERROR(INDEX(Library!$K$3:$K$2000,MATCH($K15,Library!$A$3:$A$2000,0)),"NOT FOUND"))</f>
        <v/>
      </c>
      <c r="V15" s="23">
        <f>IF($K15="","",IFERROR(INDEX(Library!$L$3:$L$2000,MATCH($K15,Library!$A$3:$A$2000,0)),"NOT FOUND"))</f>
        <v/>
      </c>
      <c r="W15" s="24">
        <f>IF($A15="","",IFERROR($I15/9.81,""))</f>
        <v/>
      </c>
      <c r="X15" s="24">
        <f>IF($A15="","",IFERROR($H15*$I15/1000,""))</f>
        <v/>
      </c>
      <c r="Y15" s="24">
        <f>IF($A15="","",IFERROR(100*$H15*$I15/1000/$J15,""))</f>
        <v/>
      </c>
      <c r="Z15" s="24">
        <f>IF($A15="","",IFERROR(100*$J15/$N15,""))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3">
        <f>IF($K16="","",IFERROR(INDEX(Library!$B$3:$B$2000,MATCH($K16,Library!$A$3:$A$2000,0)),"NOT FOUND"))</f>
        <v/>
      </c>
      <c r="M16" s="23">
        <f>IF($K16="","",IFERROR(INDEX(Library!$C$3:$C$2000,MATCH($K16,Library!$A$3:$A$2000,0)),"NOT FOUND"))</f>
        <v/>
      </c>
      <c r="N16" s="23">
        <f>IF($K16="","",IFERROR(INDEX(Library!$D$3:$D$2000,MATCH($K16,Library!$A$3:$A$2000,0)),"NOT FOUND"))</f>
        <v/>
      </c>
      <c r="O16" s="23">
        <f>IF($K16="","",IFERROR(INDEX(Library!$E$3:$E$2000,MATCH($K16,Library!$A$3:$A$2000,0)),"NOT FOUND"))</f>
        <v/>
      </c>
      <c r="P16" s="23">
        <f>IF($K16="","",IFERROR(INDEX(Library!$F$3:$F$2000,MATCH($K16,Library!$A$3:$A$2000,0)),"NOT FOUND"))</f>
        <v/>
      </c>
      <c r="Q16" s="23">
        <f>IF($K16="","",IFERROR(INDEX(Library!$G$3:$G$2000,MATCH($K16,Library!$A$3:$A$2000,0)),"NOT FOUND"))</f>
        <v/>
      </c>
      <c r="R16" s="23">
        <f>IF($K16="","",IFERROR(INDEX(Library!$H$3:$H$2000,MATCH($K16,Library!$A$3:$A$2000,0)),"NOT FOUND"))</f>
        <v/>
      </c>
      <c r="S16" s="23">
        <f>IF($K16="","",IFERROR(INDEX(Library!$I$3:$I$2000,MATCH($K16,Library!$A$3:$A$2000,0)),"NOT FOUND"))</f>
        <v/>
      </c>
      <c r="T16" s="23">
        <f>IF($K16="","",IFERROR(INDEX(Library!$J$3:$J$2000,MATCH($K16,Library!$A$3:$A$2000,0)),"NOT FOUND"))</f>
        <v/>
      </c>
      <c r="U16" s="23">
        <f>IF($K16="","",IFERROR(INDEX(Library!$K$3:$K$2000,MATCH($K16,Library!$A$3:$A$2000,0)),"NOT FOUND"))</f>
        <v/>
      </c>
      <c r="V16" s="23">
        <f>IF($K16="","",IFERROR(INDEX(Library!$L$3:$L$2000,MATCH($K16,Library!$A$3:$A$2000,0)),"NOT FOUND"))</f>
        <v/>
      </c>
      <c r="W16" s="24">
        <f>IF($A16="","",IFERROR($I16/9.81,""))</f>
        <v/>
      </c>
      <c r="X16" s="24">
        <f>IF($A16="","",IFERROR($H16*$I16/1000,""))</f>
        <v/>
      </c>
      <c r="Y16" s="24">
        <f>IF($A16="","",IFERROR(100*$H16*$I16/1000/$J16,""))</f>
        <v/>
      </c>
      <c r="Z16" s="24">
        <f>IF($A16="","",IFERROR(100*$J16/$N16,""))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3">
        <f>IF($K17="","",IFERROR(INDEX(Library!$B$3:$B$2000,MATCH($K17,Library!$A$3:$A$2000,0)),"NOT FOUND"))</f>
        <v/>
      </c>
      <c r="M17" s="23">
        <f>IF($K17="","",IFERROR(INDEX(Library!$C$3:$C$2000,MATCH($K17,Library!$A$3:$A$2000,0)),"NOT FOUND"))</f>
        <v/>
      </c>
      <c r="N17" s="23">
        <f>IF($K17="","",IFERROR(INDEX(Library!$D$3:$D$2000,MATCH($K17,Library!$A$3:$A$2000,0)),"NOT FOUND"))</f>
        <v/>
      </c>
      <c r="O17" s="23">
        <f>IF($K17="","",IFERROR(INDEX(Library!$E$3:$E$2000,MATCH($K17,Library!$A$3:$A$2000,0)),"NOT FOUND"))</f>
        <v/>
      </c>
      <c r="P17" s="23">
        <f>IF($K17="","",IFERROR(INDEX(Library!$F$3:$F$2000,MATCH($K17,Library!$A$3:$A$2000,0)),"NOT FOUND"))</f>
        <v/>
      </c>
      <c r="Q17" s="23">
        <f>IF($K17="","",IFERROR(INDEX(Library!$G$3:$G$2000,MATCH($K17,Library!$A$3:$A$2000,0)),"NOT FOUND"))</f>
        <v/>
      </c>
      <c r="R17" s="23">
        <f>IF($K17="","",IFERROR(INDEX(Library!$H$3:$H$2000,MATCH($K17,Library!$A$3:$A$2000,0)),"NOT FOUND"))</f>
        <v/>
      </c>
      <c r="S17" s="23">
        <f>IF($K17="","",IFERROR(INDEX(Library!$I$3:$I$2000,MATCH($K17,Library!$A$3:$A$2000,0)),"NOT FOUND"))</f>
        <v/>
      </c>
      <c r="T17" s="23">
        <f>IF($K17="","",IFERROR(INDEX(Library!$J$3:$J$2000,MATCH($K17,Library!$A$3:$A$2000,0)),"NOT FOUND"))</f>
        <v/>
      </c>
      <c r="U17" s="23">
        <f>IF($K17="","",IFERROR(INDEX(Library!$K$3:$K$2000,MATCH($K17,Library!$A$3:$A$2000,0)),"NOT FOUND"))</f>
        <v/>
      </c>
      <c r="V17" s="23">
        <f>IF($K17="","",IFERROR(INDEX(Library!$L$3:$L$2000,MATCH($K17,Library!$A$3:$A$2000,0)),"NOT FOUND"))</f>
        <v/>
      </c>
      <c r="W17" s="24">
        <f>IF($A17="","",IFERROR($I17/9.81,""))</f>
        <v/>
      </c>
      <c r="X17" s="24">
        <f>IF($A17="","",IFERROR($H17*$I17/1000,""))</f>
        <v/>
      </c>
      <c r="Y17" s="24">
        <f>IF($A17="","",IFERROR(100*$H17*$I17/1000/$J17,""))</f>
        <v/>
      </c>
      <c r="Z17" s="24">
        <f>IF($A17="","",IFERROR(100*$J17/$N17,""))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3">
        <f>IF($K18="","",IFERROR(INDEX(Library!$B$3:$B$2000,MATCH($K18,Library!$A$3:$A$2000,0)),"NOT FOUND"))</f>
        <v/>
      </c>
      <c r="M18" s="23">
        <f>IF($K18="","",IFERROR(INDEX(Library!$C$3:$C$2000,MATCH($K18,Library!$A$3:$A$2000,0)),"NOT FOUND"))</f>
        <v/>
      </c>
      <c r="N18" s="23">
        <f>IF($K18="","",IFERROR(INDEX(Library!$D$3:$D$2000,MATCH($K18,Library!$A$3:$A$2000,0)),"NOT FOUND"))</f>
        <v/>
      </c>
      <c r="O18" s="23">
        <f>IF($K18="","",IFERROR(INDEX(Library!$E$3:$E$2000,MATCH($K18,Library!$A$3:$A$2000,0)),"NOT FOUND"))</f>
        <v/>
      </c>
      <c r="P18" s="23">
        <f>IF($K18="","",IFERROR(INDEX(Library!$F$3:$F$2000,MATCH($K18,Library!$A$3:$A$2000,0)),"NOT FOUND"))</f>
        <v/>
      </c>
      <c r="Q18" s="23">
        <f>IF($K18="","",IFERROR(INDEX(Library!$G$3:$G$2000,MATCH($K18,Library!$A$3:$A$2000,0)),"NOT FOUND"))</f>
        <v/>
      </c>
      <c r="R18" s="23">
        <f>IF($K18="","",IFERROR(INDEX(Library!$H$3:$H$2000,MATCH($K18,Library!$A$3:$A$2000,0)),"NOT FOUND"))</f>
        <v/>
      </c>
      <c r="S18" s="23">
        <f>IF($K18="","",IFERROR(INDEX(Library!$I$3:$I$2000,MATCH($K18,Library!$A$3:$A$2000,0)),"NOT FOUND"))</f>
        <v/>
      </c>
      <c r="T18" s="23">
        <f>IF($K18="","",IFERROR(INDEX(Library!$J$3:$J$2000,MATCH($K18,Library!$A$3:$A$2000,0)),"NOT FOUND"))</f>
        <v/>
      </c>
      <c r="U18" s="23">
        <f>IF($K18="","",IFERROR(INDEX(Library!$K$3:$K$2000,MATCH($K18,Library!$A$3:$A$2000,0)),"NOT FOUND"))</f>
        <v/>
      </c>
      <c r="V18" s="23">
        <f>IF($K18="","",IFERROR(INDEX(Library!$L$3:$L$2000,MATCH($K18,Library!$A$3:$A$2000,0)),"NOT FOUND"))</f>
        <v/>
      </c>
      <c r="W18" s="24">
        <f>IF($A18="","",IFERROR($I18/9.81,""))</f>
        <v/>
      </c>
      <c r="X18" s="24">
        <f>IF($A18="","",IFERROR($H18*$I18/1000,""))</f>
        <v/>
      </c>
      <c r="Y18" s="24">
        <f>IF($A18="","",IFERROR(100*$H18*$I18/1000/$J18,""))</f>
        <v/>
      </c>
      <c r="Z18" s="24">
        <f>IF($A18="","",IFERROR(100*$J18/$N18,""))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3">
        <f>IF($K19="","",IFERROR(INDEX(Library!$B$3:$B$2000,MATCH($K19,Library!$A$3:$A$2000,0)),"NOT FOUND"))</f>
        <v/>
      </c>
      <c r="M19" s="23">
        <f>IF($K19="","",IFERROR(INDEX(Library!$C$3:$C$2000,MATCH($K19,Library!$A$3:$A$2000,0)),"NOT FOUND"))</f>
        <v/>
      </c>
      <c r="N19" s="23">
        <f>IF($K19="","",IFERROR(INDEX(Library!$D$3:$D$2000,MATCH($K19,Library!$A$3:$A$2000,0)),"NOT FOUND"))</f>
        <v/>
      </c>
      <c r="O19" s="23">
        <f>IF($K19="","",IFERROR(INDEX(Library!$E$3:$E$2000,MATCH($K19,Library!$A$3:$A$2000,0)),"NOT FOUND"))</f>
        <v/>
      </c>
      <c r="P19" s="23">
        <f>IF($K19="","",IFERROR(INDEX(Library!$F$3:$F$2000,MATCH($K19,Library!$A$3:$A$2000,0)),"NOT FOUND"))</f>
        <v/>
      </c>
      <c r="Q19" s="23">
        <f>IF($K19="","",IFERROR(INDEX(Library!$G$3:$G$2000,MATCH($K19,Library!$A$3:$A$2000,0)),"NOT FOUND"))</f>
        <v/>
      </c>
      <c r="R19" s="23">
        <f>IF($K19="","",IFERROR(INDEX(Library!$H$3:$H$2000,MATCH($K19,Library!$A$3:$A$2000,0)),"NOT FOUND"))</f>
        <v/>
      </c>
      <c r="S19" s="23">
        <f>IF($K19="","",IFERROR(INDEX(Library!$I$3:$I$2000,MATCH($K19,Library!$A$3:$A$2000,0)),"NOT FOUND"))</f>
        <v/>
      </c>
      <c r="T19" s="23">
        <f>IF($K19="","",IFERROR(INDEX(Library!$J$3:$J$2000,MATCH($K19,Library!$A$3:$A$2000,0)),"NOT FOUND"))</f>
        <v/>
      </c>
      <c r="U19" s="23">
        <f>IF($K19="","",IFERROR(INDEX(Library!$K$3:$K$2000,MATCH($K19,Library!$A$3:$A$2000,0)),"NOT FOUND"))</f>
        <v/>
      </c>
      <c r="V19" s="23">
        <f>IF($K19="","",IFERROR(INDEX(Library!$L$3:$L$2000,MATCH($K19,Library!$A$3:$A$2000,0)),"NOT FOUND"))</f>
        <v/>
      </c>
      <c r="W19" s="24">
        <f>IF($A19="","",IFERROR($I19/9.81,""))</f>
        <v/>
      </c>
      <c r="X19" s="24">
        <f>IF($A19="","",IFERROR($H19*$I19/1000,""))</f>
        <v/>
      </c>
      <c r="Y19" s="24">
        <f>IF($A19="","",IFERROR(100*$H19*$I19/1000/$J19,""))</f>
        <v/>
      </c>
      <c r="Z19" s="24">
        <f>IF($A19="","",IFERROR(100*$J19/$N19,""))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3">
        <f>IF($K20="","",IFERROR(INDEX(Library!$B$3:$B$2000,MATCH($K20,Library!$A$3:$A$2000,0)),"NOT FOUND"))</f>
        <v/>
      </c>
      <c r="M20" s="23">
        <f>IF($K20="","",IFERROR(INDEX(Library!$C$3:$C$2000,MATCH($K20,Library!$A$3:$A$2000,0)),"NOT FOUND"))</f>
        <v/>
      </c>
      <c r="N20" s="23">
        <f>IF($K20="","",IFERROR(INDEX(Library!$D$3:$D$2000,MATCH($K20,Library!$A$3:$A$2000,0)),"NOT FOUND"))</f>
        <v/>
      </c>
      <c r="O20" s="23">
        <f>IF($K20="","",IFERROR(INDEX(Library!$E$3:$E$2000,MATCH($K20,Library!$A$3:$A$2000,0)),"NOT FOUND"))</f>
        <v/>
      </c>
      <c r="P20" s="23">
        <f>IF($K20="","",IFERROR(INDEX(Library!$F$3:$F$2000,MATCH($K20,Library!$A$3:$A$2000,0)),"NOT FOUND"))</f>
        <v/>
      </c>
      <c r="Q20" s="23">
        <f>IF($K20="","",IFERROR(INDEX(Library!$G$3:$G$2000,MATCH($K20,Library!$A$3:$A$2000,0)),"NOT FOUND"))</f>
        <v/>
      </c>
      <c r="R20" s="23">
        <f>IF($K20="","",IFERROR(INDEX(Library!$H$3:$H$2000,MATCH($K20,Library!$A$3:$A$2000,0)),"NOT FOUND"))</f>
        <v/>
      </c>
      <c r="S20" s="23">
        <f>IF($K20="","",IFERROR(INDEX(Library!$I$3:$I$2000,MATCH($K20,Library!$A$3:$A$2000,0)),"NOT FOUND"))</f>
        <v/>
      </c>
      <c r="T20" s="23">
        <f>IF($K20="","",IFERROR(INDEX(Library!$J$3:$J$2000,MATCH($K20,Library!$A$3:$A$2000,0)),"NOT FOUND"))</f>
        <v/>
      </c>
      <c r="U20" s="23">
        <f>IF($K20="","",IFERROR(INDEX(Library!$K$3:$K$2000,MATCH($K20,Library!$A$3:$A$2000,0)),"NOT FOUND"))</f>
        <v/>
      </c>
      <c r="V20" s="23">
        <f>IF($K20="","",IFERROR(INDEX(Library!$L$3:$L$2000,MATCH($K20,Library!$A$3:$A$2000,0)),"NOT FOUND"))</f>
        <v/>
      </c>
      <c r="W20" s="24">
        <f>IF($A20="","",IFERROR($I20/9.81,""))</f>
        <v/>
      </c>
      <c r="X20" s="24">
        <f>IF($A20="","",IFERROR($H20*$I20/1000,""))</f>
        <v/>
      </c>
      <c r="Y20" s="24">
        <f>IF($A20="","",IFERROR(100*$H20*$I20/1000/$J20,""))</f>
        <v/>
      </c>
      <c r="Z20" s="24">
        <f>IF($A20="","",IFERROR(100*$J20/$N20,""))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3">
        <f>IF($K21="","",IFERROR(INDEX(Library!$B$3:$B$2000,MATCH($K21,Library!$A$3:$A$2000,0)),"NOT FOUND"))</f>
        <v/>
      </c>
      <c r="M21" s="23">
        <f>IF($K21="","",IFERROR(INDEX(Library!$C$3:$C$2000,MATCH($K21,Library!$A$3:$A$2000,0)),"NOT FOUND"))</f>
        <v/>
      </c>
      <c r="N21" s="23">
        <f>IF($K21="","",IFERROR(INDEX(Library!$D$3:$D$2000,MATCH($K21,Library!$A$3:$A$2000,0)),"NOT FOUND"))</f>
        <v/>
      </c>
      <c r="O21" s="23">
        <f>IF($K21="","",IFERROR(INDEX(Library!$E$3:$E$2000,MATCH($K21,Library!$A$3:$A$2000,0)),"NOT FOUND"))</f>
        <v/>
      </c>
      <c r="P21" s="23">
        <f>IF($K21="","",IFERROR(INDEX(Library!$F$3:$F$2000,MATCH($K21,Library!$A$3:$A$2000,0)),"NOT FOUND"))</f>
        <v/>
      </c>
      <c r="Q21" s="23">
        <f>IF($K21="","",IFERROR(INDEX(Library!$G$3:$G$2000,MATCH($K21,Library!$A$3:$A$2000,0)),"NOT FOUND"))</f>
        <v/>
      </c>
      <c r="R21" s="23">
        <f>IF($K21="","",IFERROR(INDEX(Library!$H$3:$H$2000,MATCH($K21,Library!$A$3:$A$2000,0)),"NOT FOUND"))</f>
        <v/>
      </c>
      <c r="S21" s="23">
        <f>IF($K21="","",IFERROR(INDEX(Library!$I$3:$I$2000,MATCH($K21,Library!$A$3:$A$2000,0)),"NOT FOUND"))</f>
        <v/>
      </c>
      <c r="T21" s="23">
        <f>IF($K21="","",IFERROR(INDEX(Library!$J$3:$J$2000,MATCH($K21,Library!$A$3:$A$2000,0)),"NOT FOUND"))</f>
        <v/>
      </c>
      <c r="U21" s="23">
        <f>IF($K21="","",IFERROR(INDEX(Library!$K$3:$K$2000,MATCH($K21,Library!$A$3:$A$2000,0)),"NOT FOUND"))</f>
        <v/>
      </c>
      <c r="V21" s="23">
        <f>IF($K21="","",IFERROR(INDEX(Library!$L$3:$L$2000,MATCH($K21,Library!$A$3:$A$2000,0)),"NOT FOUND"))</f>
        <v/>
      </c>
      <c r="W21" s="24">
        <f>IF($A21="","",IFERROR($I21/9.81,""))</f>
        <v/>
      </c>
      <c r="X21" s="24">
        <f>IF($A21="","",IFERROR($H21*$I21/1000,""))</f>
        <v/>
      </c>
      <c r="Y21" s="24">
        <f>IF($A21="","",IFERROR(100*$H21*$I21/1000/$J21,""))</f>
        <v/>
      </c>
      <c r="Z21" s="24">
        <f>IF($A21="","",IFERROR(100*$J21/$N21,""))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3">
        <f>IF($K22="","",IFERROR(INDEX(Library!$B$3:$B$2000,MATCH($K22,Library!$A$3:$A$2000,0)),"NOT FOUND"))</f>
        <v/>
      </c>
      <c r="M22" s="23">
        <f>IF($K22="","",IFERROR(INDEX(Library!$C$3:$C$2000,MATCH($K22,Library!$A$3:$A$2000,0)),"NOT FOUND"))</f>
        <v/>
      </c>
      <c r="N22" s="23">
        <f>IF($K22="","",IFERROR(INDEX(Library!$D$3:$D$2000,MATCH($K22,Library!$A$3:$A$2000,0)),"NOT FOUND"))</f>
        <v/>
      </c>
      <c r="O22" s="23">
        <f>IF($K22="","",IFERROR(INDEX(Library!$E$3:$E$2000,MATCH($K22,Library!$A$3:$A$2000,0)),"NOT FOUND"))</f>
        <v/>
      </c>
      <c r="P22" s="23">
        <f>IF($K22="","",IFERROR(INDEX(Library!$F$3:$F$2000,MATCH($K22,Library!$A$3:$A$2000,0)),"NOT FOUND"))</f>
        <v/>
      </c>
      <c r="Q22" s="23">
        <f>IF($K22="","",IFERROR(INDEX(Library!$G$3:$G$2000,MATCH($K22,Library!$A$3:$A$2000,0)),"NOT FOUND"))</f>
        <v/>
      </c>
      <c r="R22" s="23">
        <f>IF($K22="","",IFERROR(INDEX(Library!$H$3:$H$2000,MATCH($K22,Library!$A$3:$A$2000,0)),"NOT FOUND"))</f>
        <v/>
      </c>
      <c r="S22" s="23">
        <f>IF($K22="","",IFERROR(INDEX(Library!$I$3:$I$2000,MATCH($K22,Library!$A$3:$A$2000,0)),"NOT FOUND"))</f>
        <v/>
      </c>
      <c r="T22" s="23">
        <f>IF($K22="","",IFERROR(INDEX(Library!$J$3:$J$2000,MATCH($K22,Library!$A$3:$A$2000,0)),"NOT FOUND"))</f>
        <v/>
      </c>
      <c r="U22" s="23">
        <f>IF($K22="","",IFERROR(INDEX(Library!$K$3:$K$2000,MATCH($K22,Library!$A$3:$A$2000,0)),"NOT FOUND"))</f>
        <v/>
      </c>
      <c r="V22" s="23">
        <f>IF($K22="","",IFERROR(INDEX(Library!$L$3:$L$2000,MATCH($K22,Library!$A$3:$A$2000,0)),"NOT FOUND"))</f>
        <v/>
      </c>
      <c r="W22" s="24">
        <f>IF($A22="","",IFERROR($I22/9.81,""))</f>
        <v/>
      </c>
      <c r="X22" s="24">
        <f>IF($A22="","",IFERROR($H22*$I22/1000,""))</f>
        <v/>
      </c>
      <c r="Y22" s="24">
        <f>IF($A22="","",IFERROR(100*$H22*$I22/1000/$J22,""))</f>
        <v/>
      </c>
      <c r="Z22" s="24">
        <f>IF($A22="","",IFERROR(100*$J22/$N22,""))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3">
        <f>IF($K23="","",IFERROR(INDEX(Library!$B$3:$B$2000,MATCH($K23,Library!$A$3:$A$2000,0)),"NOT FOUND"))</f>
        <v/>
      </c>
      <c r="M23" s="23">
        <f>IF($K23="","",IFERROR(INDEX(Library!$C$3:$C$2000,MATCH($K23,Library!$A$3:$A$2000,0)),"NOT FOUND"))</f>
        <v/>
      </c>
      <c r="N23" s="23">
        <f>IF($K23="","",IFERROR(INDEX(Library!$D$3:$D$2000,MATCH($K23,Library!$A$3:$A$2000,0)),"NOT FOUND"))</f>
        <v/>
      </c>
      <c r="O23" s="23">
        <f>IF($K23="","",IFERROR(INDEX(Library!$E$3:$E$2000,MATCH($K23,Library!$A$3:$A$2000,0)),"NOT FOUND"))</f>
        <v/>
      </c>
      <c r="P23" s="23">
        <f>IF($K23="","",IFERROR(INDEX(Library!$F$3:$F$2000,MATCH($K23,Library!$A$3:$A$2000,0)),"NOT FOUND"))</f>
        <v/>
      </c>
      <c r="Q23" s="23">
        <f>IF($K23="","",IFERROR(INDEX(Library!$G$3:$G$2000,MATCH($K23,Library!$A$3:$A$2000,0)),"NOT FOUND"))</f>
        <v/>
      </c>
      <c r="R23" s="23">
        <f>IF($K23="","",IFERROR(INDEX(Library!$H$3:$H$2000,MATCH($K23,Library!$A$3:$A$2000,0)),"NOT FOUND"))</f>
        <v/>
      </c>
      <c r="S23" s="23">
        <f>IF($K23="","",IFERROR(INDEX(Library!$I$3:$I$2000,MATCH($K23,Library!$A$3:$A$2000,0)),"NOT FOUND"))</f>
        <v/>
      </c>
      <c r="T23" s="23">
        <f>IF($K23="","",IFERROR(INDEX(Library!$J$3:$J$2000,MATCH($K23,Library!$A$3:$A$2000,0)),"NOT FOUND"))</f>
        <v/>
      </c>
      <c r="U23" s="23">
        <f>IF($K23="","",IFERROR(INDEX(Library!$K$3:$K$2000,MATCH($K23,Library!$A$3:$A$2000,0)),"NOT FOUND"))</f>
        <v/>
      </c>
      <c r="V23" s="23">
        <f>IF($K23="","",IFERROR(INDEX(Library!$L$3:$L$2000,MATCH($K23,Library!$A$3:$A$2000,0)),"NOT FOUND"))</f>
        <v/>
      </c>
      <c r="W23" s="24">
        <f>IF($A23="","",IFERROR($I23/9.81,""))</f>
        <v/>
      </c>
      <c r="X23" s="24">
        <f>IF($A23="","",IFERROR($H23*$I23/1000,""))</f>
        <v/>
      </c>
      <c r="Y23" s="24">
        <f>IF($A23="","",IFERROR(100*$H23*$I23/1000/$J23,""))</f>
        <v/>
      </c>
      <c r="Z23" s="24">
        <f>IF($A23="","",IFERROR(100*$J23/$N23,""))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>
        <f>IF($K24="","",IFERROR(INDEX(Library!$B$3:$B$2000,MATCH($K24,Library!$A$3:$A$2000,0)),"NOT FOUND"))</f>
        <v/>
      </c>
      <c r="M24" s="23">
        <f>IF($K24="","",IFERROR(INDEX(Library!$C$3:$C$2000,MATCH($K24,Library!$A$3:$A$2000,0)),"NOT FOUND"))</f>
        <v/>
      </c>
      <c r="N24" s="23">
        <f>IF($K24="","",IFERROR(INDEX(Library!$D$3:$D$2000,MATCH($K24,Library!$A$3:$A$2000,0)),"NOT FOUND"))</f>
        <v/>
      </c>
      <c r="O24" s="23">
        <f>IF($K24="","",IFERROR(INDEX(Library!$E$3:$E$2000,MATCH($K24,Library!$A$3:$A$2000,0)),"NOT FOUND"))</f>
        <v/>
      </c>
      <c r="P24" s="23">
        <f>IF($K24="","",IFERROR(INDEX(Library!$F$3:$F$2000,MATCH($K24,Library!$A$3:$A$2000,0)),"NOT FOUND"))</f>
        <v/>
      </c>
      <c r="Q24" s="23">
        <f>IF($K24="","",IFERROR(INDEX(Library!$G$3:$G$2000,MATCH($K24,Library!$A$3:$A$2000,0)),"NOT FOUND"))</f>
        <v/>
      </c>
      <c r="R24" s="23">
        <f>IF($K24="","",IFERROR(INDEX(Library!$H$3:$H$2000,MATCH($K24,Library!$A$3:$A$2000,0)),"NOT FOUND"))</f>
        <v/>
      </c>
      <c r="S24" s="23">
        <f>IF($K24="","",IFERROR(INDEX(Library!$I$3:$I$2000,MATCH($K24,Library!$A$3:$A$2000,0)),"NOT FOUND"))</f>
        <v/>
      </c>
      <c r="T24" s="23">
        <f>IF($K24="","",IFERROR(INDEX(Library!$J$3:$J$2000,MATCH($K24,Library!$A$3:$A$2000,0)),"NOT FOUND"))</f>
        <v/>
      </c>
      <c r="U24" s="23">
        <f>IF($K24="","",IFERROR(INDEX(Library!$K$3:$K$2000,MATCH($K24,Library!$A$3:$A$2000,0)),"NOT FOUND"))</f>
        <v/>
      </c>
      <c r="V24" s="23">
        <f>IF($K24="","",IFERROR(INDEX(Library!$L$3:$L$2000,MATCH($K24,Library!$A$3:$A$2000,0)),"NOT FOUND"))</f>
        <v/>
      </c>
      <c r="W24" s="24">
        <f>IF($A24="","",IFERROR($I24/9.81,""))</f>
        <v/>
      </c>
      <c r="X24" s="24">
        <f>IF($A24="","",IFERROR($H24*$I24/1000,""))</f>
        <v/>
      </c>
      <c r="Y24" s="24">
        <f>IF($A24="","",IFERROR(100*$H24*$I24/1000/$J24,""))</f>
        <v/>
      </c>
      <c r="Z24" s="24">
        <f>IF($A24="","",IFERROR(100*$J24/$N24,""))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>
        <f>IF($K25="","",IFERROR(INDEX(Library!$B$3:$B$2000,MATCH($K25,Library!$A$3:$A$2000,0)),"NOT FOUND"))</f>
        <v/>
      </c>
      <c r="M25" s="23">
        <f>IF($K25="","",IFERROR(INDEX(Library!$C$3:$C$2000,MATCH($K25,Library!$A$3:$A$2000,0)),"NOT FOUND"))</f>
        <v/>
      </c>
      <c r="N25" s="23">
        <f>IF($K25="","",IFERROR(INDEX(Library!$D$3:$D$2000,MATCH($K25,Library!$A$3:$A$2000,0)),"NOT FOUND"))</f>
        <v/>
      </c>
      <c r="O25" s="23">
        <f>IF($K25="","",IFERROR(INDEX(Library!$E$3:$E$2000,MATCH($K25,Library!$A$3:$A$2000,0)),"NOT FOUND"))</f>
        <v/>
      </c>
      <c r="P25" s="23">
        <f>IF($K25="","",IFERROR(INDEX(Library!$F$3:$F$2000,MATCH($K25,Library!$A$3:$A$2000,0)),"NOT FOUND"))</f>
        <v/>
      </c>
      <c r="Q25" s="23">
        <f>IF($K25="","",IFERROR(INDEX(Library!$G$3:$G$2000,MATCH($K25,Library!$A$3:$A$2000,0)),"NOT FOUND"))</f>
        <v/>
      </c>
      <c r="R25" s="23">
        <f>IF($K25="","",IFERROR(INDEX(Library!$H$3:$H$2000,MATCH($K25,Library!$A$3:$A$2000,0)),"NOT FOUND"))</f>
        <v/>
      </c>
      <c r="S25" s="23">
        <f>IF($K25="","",IFERROR(INDEX(Library!$I$3:$I$2000,MATCH($K25,Library!$A$3:$A$2000,0)),"NOT FOUND"))</f>
        <v/>
      </c>
      <c r="T25" s="23">
        <f>IF($K25="","",IFERROR(INDEX(Library!$J$3:$J$2000,MATCH($K25,Library!$A$3:$A$2000,0)),"NOT FOUND"))</f>
        <v/>
      </c>
      <c r="U25" s="23">
        <f>IF($K25="","",IFERROR(INDEX(Library!$K$3:$K$2000,MATCH($K25,Library!$A$3:$A$2000,0)),"NOT FOUND"))</f>
        <v/>
      </c>
      <c r="V25" s="23">
        <f>IF($K25="","",IFERROR(INDEX(Library!$L$3:$L$2000,MATCH($K25,Library!$A$3:$A$2000,0)),"NOT FOUND"))</f>
        <v/>
      </c>
      <c r="W25" s="24">
        <f>IF($A25="","",IFERROR($I25/9.81,""))</f>
        <v/>
      </c>
      <c r="X25" s="24">
        <f>IF($A25="","",IFERROR($H25*$I25/1000,""))</f>
        <v/>
      </c>
      <c r="Y25" s="24">
        <f>IF($A25="","",IFERROR(100*$H25*$I25/1000/$J25,""))</f>
        <v/>
      </c>
      <c r="Z25" s="24">
        <f>IF($A25="","",IFERROR(100*$J25/$N25,""))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3">
        <f>IF($K26="","",IFERROR(INDEX(Library!$B$3:$B$2000,MATCH($K26,Library!$A$3:$A$2000,0)),"NOT FOUND"))</f>
        <v/>
      </c>
      <c r="M26" s="23">
        <f>IF($K26="","",IFERROR(INDEX(Library!$C$3:$C$2000,MATCH($K26,Library!$A$3:$A$2000,0)),"NOT FOUND"))</f>
        <v/>
      </c>
      <c r="N26" s="23">
        <f>IF($K26="","",IFERROR(INDEX(Library!$D$3:$D$2000,MATCH($K26,Library!$A$3:$A$2000,0)),"NOT FOUND"))</f>
        <v/>
      </c>
      <c r="O26" s="23">
        <f>IF($K26="","",IFERROR(INDEX(Library!$E$3:$E$2000,MATCH($K26,Library!$A$3:$A$2000,0)),"NOT FOUND"))</f>
        <v/>
      </c>
      <c r="P26" s="23">
        <f>IF($K26="","",IFERROR(INDEX(Library!$F$3:$F$2000,MATCH($K26,Library!$A$3:$A$2000,0)),"NOT FOUND"))</f>
        <v/>
      </c>
      <c r="Q26" s="23">
        <f>IF($K26="","",IFERROR(INDEX(Library!$G$3:$G$2000,MATCH($K26,Library!$A$3:$A$2000,0)),"NOT FOUND"))</f>
        <v/>
      </c>
      <c r="R26" s="23">
        <f>IF($K26="","",IFERROR(INDEX(Library!$H$3:$H$2000,MATCH($K26,Library!$A$3:$A$2000,0)),"NOT FOUND"))</f>
        <v/>
      </c>
      <c r="S26" s="23">
        <f>IF($K26="","",IFERROR(INDEX(Library!$I$3:$I$2000,MATCH($K26,Library!$A$3:$A$2000,0)),"NOT FOUND"))</f>
        <v/>
      </c>
      <c r="T26" s="23">
        <f>IF($K26="","",IFERROR(INDEX(Library!$J$3:$J$2000,MATCH($K26,Library!$A$3:$A$2000,0)),"NOT FOUND"))</f>
        <v/>
      </c>
      <c r="U26" s="23">
        <f>IF($K26="","",IFERROR(INDEX(Library!$K$3:$K$2000,MATCH($K26,Library!$A$3:$A$2000,0)),"NOT FOUND"))</f>
        <v/>
      </c>
      <c r="V26" s="23">
        <f>IF($K26="","",IFERROR(INDEX(Library!$L$3:$L$2000,MATCH($K26,Library!$A$3:$A$2000,0)),"NOT FOUND"))</f>
        <v/>
      </c>
      <c r="W26" s="24">
        <f>IF($A26="","",IFERROR($I26/9.81,""))</f>
        <v/>
      </c>
      <c r="X26" s="24">
        <f>IF($A26="","",IFERROR($H26*$I26/1000,""))</f>
        <v/>
      </c>
      <c r="Y26" s="24">
        <f>IF($A26="","",IFERROR(100*$H26*$I26/1000/$J26,""))</f>
        <v/>
      </c>
      <c r="Z26" s="24">
        <f>IF($A26="","",IFERROR(100*$J26/$N26,""))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>
        <f>IF($K27="","",IFERROR(INDEX(Library!$B$3:$B$2000,MATCH($K27,Library!$A$3:$A$2000,0)),"NOT FOUND"))</f>
        <v/>
      </c>
      <c r="M27" s="23">
        <f>IF($K27="","",IFERROR(INDEX(Library!$C$3:$C$2000,MATCH($K27,Library!$A$3:$A$2000,0)),"NOT FOUND"))</f>
        <v/>
      </c>
      <c r="N27" s="23">
        <f>IF($K27="","",IFERROR(INDEX(Library!$D$3:$D$2000,MATCH($K27,Library!$A$3:$A$2000,0)),"NOT FOUND"))</f>
        <v/>
      </c>
      <c r="O27" s="23">
        <f>IF($K27="","",IFERROR(INDEX(Library!$E$3:$E$2000,MATCH($K27,Library!$A$3:$A$2000,0)),"NOT FOUND"))</f>
        <v/>
      </c>
      <c r="P27" s="23">
        <f>IF($K27="","",IFERROR(INDEX(Library!$F$3:$F$2000,MATCH($K27,Library!$A$3:$A$2000,0)),"NOT FOUND"))</f>
        <v/>
      </c>
      <c r="Q27" s="23">
        <f>IF($K27="","",IFERROR(INDEX(Library!$G$3:$G$2000,MATCH($K27,Library!$A$3:$A$2000,0)),"NOT FOUND"))</f>
        <v/>
      </c>
      <c r="R27" s="23">
        <f>IF($K27="","",IFERROR(INDEX(Library!$H$3:$H$2000,MATCH($K27,Library!$A$3:$A$2000,0)),"NOT FOUND"))</f>
        <v/>
      </c>
      <c r="S27" s="23">
        <f>IF($K27="","",IFERROR(INDEX(Library!$I$3:$I$2000,MATCH($K27,Library!$A$3:$A$2000,0)),"NOT FOUND"))</f>
        <v/>
      </c>
      <c r="T27" s="23">
        <f>IF($K27="","",IFERROR(INDEX(Library!$J$3:$J$2000,MATCH($K27,Library!$A$3:$A$2000,0)),"NOT FOUND"))</f>
        <v/>
      </c>
      <c r="U27" s="23">
        <f>IF($K27="","",IFERROR(INDEX(Library!$K$3:$K$2000,MATCH($K27,Library!$A$3:$A$2000,0)),"NOT FOUND"))</f>
        <v/>
      </c>
      <c r="V27" s="23">
        <f>IF($K27="","",IFERROR(INDEX(Library!$L$3:$L$2000,MATCH($K27,Library!$A$3:$A$2000,0)),"NOT FOUND"))</f>
        <v/>
      </c>
      <c r="W27" s="24">
        <f>IF($A27="","",IFERROR($I27/9.81,""))</f>
        <v/>
      </c>
      <c r="X27" s="24">
        <f>IF($A27="","",IFERROR($H27*$I27/1000,""))</f>
        <v/>
      </c>
      <c r="Y27" s="24">
        <f>IF($A27="","",IFERROR(100*$H27*$I27/1000/$J27,""))</f>
        <v/>
      </c>
      <c r="Z27" s="24">
        <f>IF($A27="","",IFERROR(100*$J27/$N27,""))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3">
        <f>IF($K28="","",IFERROR(INDEX(Library!$B$3:$B$2000,MATCH($K28,Library!$A$3:$A$2000,0)),"NOT FOUND"))</f>
        <v/>
      </c>
      <c r="M28" s="23">
        <f>IF($K28="","",IFERROR(INDEX(Library!$C$3:$C$2000,MATCH($K28,Library!$A$3:$A$2000,0)),"NOT FOUND"))</f>
        <v/>
      </c>
      <c r="N28" s="23">
        <f>IF($K28="","",IFERROR(INDEX(Library!$D$3:$D$2000,MATCH($K28,Library!$A$3:$A$2000,0)),"NOT FOUND"))</f>
        <v/>
      </c>
      <c r="O28" s="23">
        <f>IF($K28="","",IFERROR(INDEX(Library!$E$3:$E$2000,MATCH($K28,Library!$A$3:$A$2000,0)),"NOT FOUND"))</f>
        <v/>
      </c>
      <c r="P28" s="23">
        <f>IF($K28="","",IFERROR(INDEX(Library!$F$3:$F$2000,MATCH($K28,Library!$A$3:$A$2000,0)),"NOT FOUND"))</f>
        <v/>
      </c>
      <c r="Q28" s="23">
        <f>IF($K28="","",IFERROR(INDEX(Library!$G$3:$G$2000,MATCH($K28,Library!$A$3:$A$2000,0)),"NOT FOUND"))</f>
        <v/>
      </c>
      <c r="R28" s="23">
        <f>IF($K28="","",IFERROR(INDEX(Library!$H$3:$H$2000,MATCH($K28,Library!$A$3:$A$2000,0)),"NOT FOUND"))</f>
        <v/>
      </c>
      <c r="S28" s="23">
        <f>IF($K28="","",IFERROR(INDEX(Library!$I$3:$I$2000,MATCH($K28,Library!$A$3:$A$2000,0)),"NOT FOUND"))</f>
        <v/>
      </c>
      <c r="T28" s="23">
        <f>IF($K28="","",IFERROR(INDEX(Library!$J$3:$J$2000,MATCH($K28,Library!$A$3:$A$2000,0)),"NOT FOUND"))</f>
        <v/>
      </c>
      <c r="U28" s="23">
        <f>IF($K28="","",IFERROR(INDEX(Library!$K$3:$K$2000,MATCH($K28,Library!$A$3:$A$2000,0)),"NOT FOUND"))</f>
        <v/>
      </c>
      <c r="V28" s="23">
        <f>IF($K28="","",IFERROR(INDEX(Library!$L$3:$L$2000,MATCH($K28,Library!$A$3:$A$2000,0)),"NOT FOUND"))</f>
        <v/>
      </c>
      <c r="W28" s="24">
        <f>IF($A28="","",IFERROR($I28/9.81,""))</f>
        <v/>
      </c>
      <c r="X28" s="24">
        <f>IF($A28="","",IFERROR($H28*$I28/1000,""))</f>
        <v/>
      </c>
      <c r="Y28" s="24">
        <f>IF($A28="","",IFERROR(100*$H28*$I28/1000/$J28,""))</f>
        <v/>
      </c>
      <c r="Z28" s="24">
        <f>IF($A28="","",IFERROR(100*$J28/$N28,""))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3">
        <f>IF($K29="","",IFERROR(INDEX(Library!$B$3:$B$2000,MATCH($K29,Library!$A$3:$A$2000,0)),"NOT FOUND"))</f>
        <v/>
      </c>
      <c r="M29" s="23">
        <f>IF($K29="","",IFERROR(INDEX(Library!$C$3:$C$2000,MATCH($K29,Library!$A$3:$A$2000,0)),"NOT FOUND"))</f>
        <v/>
      </c>
      <c r="N29" s="23">
        <f>IF($K29="","",IFERROR(INDEX(Library!$D$3:$D$2000,MATCH($K29,Library!$A$3:$A$2000,0)),"NOT FOUND"))</f>
        <v/>
      </c>
      <c r="O29" s="23">
        <f>IF($K29="","",IFERROR(INDEX(Library!$E$3:$E$2000,MATCH($K29,Library!$A$3:$A$2000,0)),"NOT FOUND"))</f>
        <v/>
      </c>
      <c r="P29" s="23">
        <f>IF($K29="","",IFERROR(INDEX(Library!$F$3:$F$2000,MATCH($K29,Library!$A$3:$A$2000,0)),"NOT FOUND"))</f>
        <v/>
      </c>
      <c r="Q29" s="23">
        <f>IF($K29="","",IFERROR(INDEX(Library!$G$3:$G$2000,MATCH($K29,Library!$A$3:$A$2000,0)),"NOT FOUND"))</f>
        <v/>
      </c>
      <c r="R29" s="23">
        <f>IF($K29="","",IFERROR(INDEX(Library!$H$3:$H$2000,MATCH($K29,Library!$A$3:$A$2000,0)),"NOT FOUND"))</f>
        <v/>
      </c>
      <c r="S29" s="23">
        <f>IF($K29="","",IFERROR(INDEX(Library!$I$3:$I$2000,MATCH($K29,Library!$A$3:$A$2000,0)),"NOT FOUND"))</f>
        <v/>
      </c>
      <c r="T29" s="23">
        <f>IF($K29="","",IFERROR(INDEX(Library!$J$3:$J$2000,MATCH($K29,Library!$A$3:$A$2000,0)),"NOT FOUND"))</f>
        <v/>
      </c>
      <c r="U29" s="23">
        <f>IF($K29="","",IFERROR(INDEX(Library!$K$3:$K$2000,MATCH($K29,Library!$A$3:$A$2000,0)),"NOT FOUND"))</f>
        <v/>
      </c>
      <c r="V29" s="23">
        <f>IF($K29="","",IFERROR(INDEX(Library!$L$3:$L$2000,MATCH($K29,Library!$A$3:$A$2000,0)),"NOT FOUND"))</f>
        <v/>
      </c>
      <c r="W29" s="24">
        <f>IF($A29="","",IFERROR($I29/9.81,""))</f>
        <v/>
      </c>
      <c r="X29" s="24">
        <f>IF($A29="","",IFERROR($H29*$I29/1000,""))</f>
        <v/>
      </c>
      <c r="Y29" s="24">
        <f>IF($A29="","",IFERROR(100*$H29*$I29/1000/$J29,""))</f>
        <v/>
      </c>
      <c r="Z29" s="24">
        <f>IF($A29="","",IFERROR(100*$J29/$N29,""))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3">
        <f>IF($K30="","",IFERROR(INDEX(Library!$B$3:$B$2000,MATCH($K30,Library!$A$3:$A$2000,0)),"NOT FOUND"))</f>
        <v/>
      </c>
      <c r="M30" s="23">
        <f>IF($K30="","",IFERROR(INDEX(Library!$C$3:$C$2000,MATCH($K30,Library!$A$3:$A$2000,0)),"NOT FOUND"))</f>
        <v/>
      </c>
      <c r="N30" s="23">
        <f>IF($K30="","",IFERROR(INDEX(Library!$D$3:$D$2000,MATCH($K30,Library!$A$3:$A$2000,0)),"NOT FOUND"))</f>
        <v/>
      </c>
      <c r="O30" s="23">
        <f>IF($K30="","",IFERROR(INDEX(Library!$E$3:$E$2000,MATCH($K30,Library!$A$3:$A$2000,0)),"NOT FOUND"))</f>
        <v/>
      </c>
      <c r="P30" s="23">
        <f>IF($K30="","",IFERROR(INDEX(Library!$F$3:$F$2000,MATCH($K30,Library!$A$3:$A$2000,0)),"NOT FOUND"))</f>
        <v/>
      </c>
      <c r="Q30" s="23">
        <f>IF($K30="","",IFERROR(INDEX(Library!$G$3:$G$2000,MATCH($K30,Library!$A$3:$A$2000,0)),"NOT FOUND"))</f>
        <v/>
      </c>
      <c r="R30" s="23">
        <f>IF($K30="","",IFERROR(INDEX(Library!$H$3:$H$2000,MATCH($K30,Library!$A$3:$A$2000,0)),"NOT FOUND"))</f>
        <v/>
      </c>
      <c r="S30" s="23">
        <f>IF($K30="","",IFERROR(INDEX(Library!$I$3:$I$2000,MATCH($K30,Library!$A$3:$A$2000,0)),"NOT FOUND"))</f>
        <v/>
      </c>
      <c r="T30" s="23">
        <f>IF($K30="","",IFERROR(INDEX(Library!$J$3:$J$2000,MATCH($K30,Library!$A$3:$A$2000,0)),"NOT FOUND"))</f>
        <v/>
      </c>
      <c r="U30" s="23">
        <f>IF($K30="","",IFERROR(INDEX(Library!$K$3:$K$2000,MATCH($K30,Library!$A$3:$A$2000,0)),"NOT FOUND"))</f>
        <v/>
      </c>
      <c r="V30" s="23">
        <f>IF($K30="","",IFERROR(INDEX(Library!$L$3:$L$2000,MATCH($K30,Library!$A$3:$A$2000,0)),"NOT FOUND"))</f>
        <v/>
      </c>
      <c r="W30" s="24">
        <f>IF($A30="","",IFERROR($I30/9.81,""))</f>
        <v/>
      </c>
      <c r="X30" s="24">
        <f>IF($A30="","",IFERROR($H30*$I30/1000,""))</f>
        <v/>
      </c>
      <c r="Y30" s="24">
        <f>IF($A30="","",IFERROR(100*$H30*$I30/1000/$J30,""))</f>
        <v/>
      </c>
      <c r="Z30" s="24">
        <f>IF($A30="","",IFERROR(100*$J30/$N30,""))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3">
        <f>IF($K31="","",IFERROR(INDEX(Library!$B$3:$B$2000,MATCH($K31,Library!$A$3:$A$2000,0)),"NOT FOUND"))</f>
        <v/>
      </c>
      <c r="M31" s="23">
        <f>IF($K31="","",IFERROR(INDEX(Library!$C$3:$C$2000,MATCH($K31,Library!$A$3:$A$2000,0)),"NOT FOUND"))</f>
        <v/>
      </c>
      <c r="N31" s="23">
        <f>IF($K31="","",IFERROR(INDEX(Library!$D$3:$D$2000,MATCH($K31,Library!$A$3:$A$2000,0)),"NOT FOUND"))</f>
        <v/>
      </c>
      <c r="O31" s="23">
        <f>IF($K31="","",IFERROR(INDEX(Library!$E$3:$E$2000,MATCH($K31,Library!$A$3:$A$2000,0)),"NOT FOUND"))</f>
        <v/>
      </c>
      <c r="P31" s="23">
        <f>IF($K31="","",IFERROR(INDEX(Library!$F$3:$F$2000,MATCH($K31,Library!$A$3:$A$2000,0)),"NOT FOUND"))</f>
        <v/>
      </c>
      <c r="Q31" s="23">
        <f>IF($K31="","",IFERROR(INDEX(Library!$G$3:$G$2000,MATCH($K31,Library!$A$3:$A$2000,0)),"NOT FOUND"))</f>
        <v/>
      </c>
      <c r="R31" s="23">
        <f>IF($K31="","",IFERROR(INDEX(Library!$H$3:$H$2000,MATCH($K31,Library!$A$3:$A$2000,0)),"NOT FOUND"))</f>
        <v/>
      </c>
      <c r="S31" s="23">
        <f>IF($K31="","",IFERROR(INDEX(Library!$I$3:$I$2000,MATCH($K31,Library!$A$3:$A$2000,0)),"NOT FOUND"))</f>
        <v/>
      </c>
      <c r="T31" s="23">
        <f>IF($K31="","",IFERROR(INDEX(Library!$J$3:$J$2000,MATCH($K31,Library!$A$3:$A$2000,0)),"NOT FOUND"))</f>
        <v/>
      </c>
      <c r="U31" s="23">
        <f>IF($K31="","",IFERROR(INDEX(Library!$K$3:$K$2000,MATCH($K31,Library!$A$3:$A$2000,0)),"NOT FOUND"))</f>
        <v/>
      </c>
      <c r="V31" s="23">
        <f>IF($K31="","",IFERROR(INDEX(Library!$L$3:$L$2000,MATCH($K31,Library!$A$3:$A$2000,0)),"NOT FOUND"))</f>
        <v/>
      </c>
      <c r="W31" s="24">
        <f>IF($A31="","",IFERROR($I31/9.81,""))</f>
        <v/>
      </c>
      <c r="X31" s="24">
        <f>IF($A31="","",IFERROR($H31*$I31/1000,""))</f>
        <v/>
      </c>
      <c r="Y31" s="24">
        <f>IF($A31="","",IFERROR(100*$H31*$I31/1000/$J31,""))</f>
        <v/>
      </c>
      <c r="Z31" s="24">
        <f>IF($A31="","",IFERROR(100*$J31/$N31,""))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3">
        <f>IF($K32="","",IFERROR(INDEX(Library!$B$3:$B$2000,MATCH($K32,Library!$A$3:$A$2000,0)),"NOT FOUND"))</f>
        <v/>
      </c>
      <c r="M32" s="23">
        <f>IF($K32="","",IFERROR(INDEX(Library!$C$3:$C$2000,MATCH($K32,Library!$A$3:$A$2000,0)),"NOT FOUND"))</f>
        <v/>
      </c>
      <c r="N32" s="23">
        <f>IF($K32="","",IFERROR(INDEX(Library!$D$3:$D$2000,MATCH($K32,Library!$A$3:$A$2000,0)),"NOT FOUND"))</f>
        <v/>
      </c>
      <c r="O32" s="23">
        <f>IF($K32="","",IFERROR(INDEX(Library!$E$3:$E$2000,MATCH($K32,Library!$A$3:$A$2000,0)),"NOT FOUND"))</f>
        <v/>
      </c>
      <c r="P32" s="23">
        <f>IF($K32="","",IFERROR(INDEX(Library!$F$3:$F$2000,MATCH($K32,Library!$A$3:$A$2000,0)),"NOT FOUND"))</f>
        <v/>
      </c>
      <c r="Q32" s="23">
        <f>IF($K32="","",IFERROR(INDEX(Library!$G$3:$G$2000,MATCH($K32,Library!$A$3:$A$2000,0)),"NOT FOUND"))</f>
        <v/>
      </c>
      <c r="R32" s="23">
        <f>IF($K32="","",IFERROR(INDEX(Library!$H$3:$H$2000,MATCH($K32,Library!$A$3:$A$2000,0)),"NOT FOUND"))</f>
        <v/>
      </c>
      <c r="S32" s="23">
        <f>IF($K32="","",IFERROR(INDEX(Library!$I$3:$I$2000,MATCH($K32,Library!$A$3:$A$2000,0)),"NOT FOUND"))</f>
        <v/>
      </c>
      <c r="T32" s="23">
        <f>IF($K32="","",IFERROR(INDEX(Library!$J$3:$J$2000,MATCH($K32,Library!$A$3:$A$2000,0)),"NOT FOUND"))</f>
        <v/>
      </c>
      <c r="U32" s="23">
        <f>IF($K32="","",IFERROR(INDEX(Library!$K$3:$K$2000,MATCH($K32,Library!$A$3:$A$2000,0)),"NOT FOUND"))</f>
        <v/>
      </c>
      <c r="V32" s="23">
        <f>IF($K32="","",IFERROR(INDEX(Library!$L$3:$L$2000,MATCH($K32,Library!$A$3:$A$2000,0)),"NOT FOUND"))</f>
        <v/>
      </c>
      <c r="W32" s="24">
        <f>IF($A32="","",IFERROR($I32/9.81,""))</f>
        <v/>
      </c>
      <c r="X32" s="24">
        <f>IF($A32="","",IFERROR($H32*$I32/1000,""))</f>
        <v/>
      </c>
      <c r="Y32" s="24">
        <f>IF($A32="","",IFERROR(100*$H32*$I32/1000/$J32,""))</f>
        <v/>
      </c>
      <c r="Z32" s="24">
        <f>IF($A32="","",IFERROR(100*$J32/$N32,""))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3">
        <f>IF($K33="","",IFERROR(INDEX(Library!$B$3:$B$2000,MATCH($K33,Library!$A$3:$A$2000,0)),"NOT FOUND"))</f>
        <v/>
      </c>
      <c r="M33" s="23">
        <f>IF($K33="","",IFERROR(INDEX(Library!$C$3:$C$2000,MATCH($K33,Library!$A$3:$A$2000,0)),"NOT FOUND"))</f>
        <v/>
      </c>
      <c r="N33" s="23">
        <f>IF($K33="","",IFERROR(INDEX(Library!$D$3:$D$2000,MATCH($K33,Library!$A$3:$A$2000,0)),"NOT FOUND"))</f>
        <v/>
      </c>
      <c r="O33" s="23">
        <f>IF($K33="","",IFERROR(INDEX(Library!$E$3:$E$2000,MATCH($K33,Library!$A$3:$A$2000,0)),"NOT FOUND"))</f>
        <v/>
      </c>
      <c r="P33" s="23">
        <f>IF($K33="","",IFERROR(INDEX(Library!$F$3:$F$2000,MATCH($K33,Library!$A$3:$A$2000,0)),"NOT FOUND"))</f>
        <v/>
      </c>
      <c r="Q33" s="23">
        <f>IF($K33="","",IFERROR(INDEX(Library!$G$3:$G$2000,MATCH($K33,Library!$A$3:$A$2000,0)),"NOT FOUND"))</f>
        <v/>
      </c>
      <c r="R33" s="23">
        <f>IF($K33="","",IFERROR(INDEX(Library!$H$3:$H$2000,MATCH($K33,Library!$A$3:$A$2000,0)),"NOT FOUND"))</f>
        <v/>
      </c>
      <c r="S33" s="23">
        <f>IF($K33="","",IFERROR(INDEX(Library!$I$3:$I$2000,MATCH($K33,Library!$A$3:$A$2000,0)),"NOT FOUND"))</f>
        <v/>
      </c>
      <c r="T33" s="23">
        <f>IF($K33="","",IFERROR(INDEX(Library!$J$3:$J$2000,MATCH($K33,Library!$A$3:$A$2000,0)),"NOT FOUND"))</f>
        <v/>
      </c>
      <c r="U33" s="23">
        <f>IF($K33="","",IFERROR(INDEX(Library!$K$3:$K$2000,MATCH($K33,Library!$A$3:$A$2000,0)),"NOT FOUND"))</f>
        <v/>
      </c>
      <c r="V33" s="23">
        <f>IF($K33="","",IFERROR(INDEX(Library!$L$3:$L$2000,MATCH($K33,Library!$A$3:$A$2000,0)),"NOT FOUND"))</f>
        <v/>
      </c>
      <c r="W33" s="24">
        <f>IF($A33="","",IFERROR($I33/9.81,""))</f>
        <v/>
      </c>
      <c r="X33" s="24">
        <f>IF($A33="","",IFERROR($H33*$I33/1000,""))</f>
        <v/>
      </c>
      <c r="Y33" s="24">
        <f>IF($A33="","",IFERROR(100*$H33*$I33/1000/$J33,""))</f>
        <v/>
      </c>
      <c r="Z33" s="24">
        <f>IF($A33="","",IFERROR(100*$J33/$N33,""))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3">
        <f>IF($K34="","",IFERROR(INDEX(Library!$B$3:$B$2000,MATCH($K34,Library!$A$3:$A$2000,0)),"NOT FOUND"))</f>
        <v/>
      </c>
      <c r="M34" s="23">
        <f>IF($K34="","",IFERROR(INDEX(Library!$C$3:$C$2000,MATCH($K34,Library!$A$3:$A$2000,0)),"NOT FOUND"))</f>
        <v/>
      </c>
      <c r="N34" s="23">
        <f>IF($K34="","",IFERROR(INDEX(Library!$D$3:$D$2000,MATCH($K34,Library!$A$3:$A$2000,0)),"NOT FOUND"))</f>
        <v/>
      </c>
      <c r="O34" s="23">
        <f>IF($K34="","",IFERROR(INDEX(Library!$E$3:$E$2000,MATCH($K34,Library!$A$3:$A$2000,0)),"NOT FOUND"))</f>
        <v/>
      </c>
      <c r="P34" s="23">
        <f>IF($K34="","",IFERROR(INDEX(Library!$F$3:$F$2000,MATCH($K34,Library!$A$3:$A$2000,0)),"NOT FOUND"))</f>
        <v/>
      </c>
      <c r="Q34" s="23">
        <f>IF($K34="","",IFERROR(INDEX(Library!$G$3:$G$2000,MATCH($K34,Library!$A$3:$A$2000,0)),"NOT FOUND"))</f>
        <v/>
      </c>
      <c r="R34" s="23">
        <f>IF($K34="","",IFERROR(INDEX(Library!$H$3:$H$2000,MATCH($K34,Library!$A$3:$A$2000,0)),"NOT FOUND"))</f>
        <v/>
      </c>
      <c r="S34" s="23">
        <f>IF($K34="","",IFERROR(INDEX(Library!$I$3:$I$2000,MATCH($K34,Library!$A$3:$A$2000,0)),"NOT FOUND"))</f>
        <v/>
      </c>
      <c r="T34" s="23">
        <f>IF($K34="","",IFERROR(INDEX(Library!$J$3:$J$2000,MATCH($K34,Library!$A$3:$A$2000,0)),"NOT FOUND"))</f>
        <v/>
      </c>
      <c r="U34" s="23">
        <f>IF($K34="","",IFERROR(INDEX(Library!$K$3:$K$2000,MATCH($K34,Library!$A$3:$A$2000,0)),"NOT FOUND"))</f>
        <v/>
      </c>
      <c r="V34" s="23">
        <f>IF($K34="","",IFERROR(INDEX(Library!$L$3:$L$2000,MATCH($K34,Library!$A$3:$A$2000,0)),"NOT FOUND"))</f>
        <v/>
      </c>
      <c r="W34" s="24">
        <f>IF($A34="","",IFERROR($I34/9.81,""))</f>
        <v/>
      </c>
      <c r="X34" s="24">
        <f>IF($A34="","",IFERROR($H34*$I34/1000,""))</f>
        <v/>
      </c>
      <c r="Y34" s="24">
        <f>IF($A34="","",IFERROR(100*$H34*$I34/1000/$J34,""))</f>
        <v/>
      </c>
      <c r="Z34" s="24">
        <f>IF($A34="","",IFERROR(100*$J34/$N34,""))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3">
        <f>IF($K35="","",IFERROR(INDEX(Library!$B$3:$B$2000,MATCH($K35,Library!$A$3:$A$2000,0)),"NOT FOUND"))</f>
        <v/>
      </c>
      <c r="M35" s="23">
        <f>IF($K35="","",IFERROR(INDEX(Library!$C$3:$C$2000,MATCH($K35,Library!$A$3:$A$2000,0)),"NOT FOUND"))</f>
        <v/>
      </c>
      <c r="N35" s="23">
        <f>IF($K35="","",IFERROR(INDEX(Library!$D$3:$D$2000,MATCH($K35,Library!$A$3:$A$2000,0)),"NOT FOUND"))</f>
        <v/>
      </c>
      <c r="O35" s="23">
        <f>IF($K35="","",IFERROR(INDEX(Library!$E$3:$E$2000,MATCH($K35,Library!$A$3:$A$2000,0)),"NOT FOUND"))</f>
        <v/>
      </c>
      <c r="P35" s="23">
        <f>IF($K35="","",IFERROR(INDEX(Library!$F$3:$F$2000,MATCH($K35,Library!$A$3:$A$2000,0)),"NOT FOUND"))</f>
        <v/>
      </c>
      <c r="Q35" s="23">
        <f>IF($K35="","",IFERROR(INDEX(Library!$G$3:$G$2000,MATCH($K35,Library!$A$3:$A$2000,0)),"NOT FOUND"))</f>
        <v/>
      </c>
      <c r="R35" s="23">
        <f>IF($K35="","",IFERROR(INDEX(Library!$H$3:$H$2000,MATCH($K35,Library!$A$3:$A$2000,0)),"NOT FOUND"))</f>
        <v/>
      </c>
      <c r="S35" s="23">
        <f>IF($K35="","",IFERROR(INDEX(Library!$I$3:$I$2000,MATCH($K35,Library!$A$3:$A$2000,0)),"NOT FOUND"))</f>
        <v/>
      </c>
      <c r="T35" s="23">
        <f>IF($K35="","",IFERROR(INDEX(Library!$J$3:$J$2000,MATCH($K35,Library!$A$3:$A$2000,0)),"NOT FOUND"))</f>
        <v/>
      </c>
      <c r="U35" s="23">
        <f>IF($K35="","",IFERROR(INDEX(Library!$K$3:$K$2000,MATCH($K35,Library!$A$3:$A$2000,0)),"NOT FOUND"))</f>
        <v/>
      </c>
      <c r="V35" s="23">
        <f>IF($K35="","",IFERROR(INDEX(Library!$L$3:$L$2000,MATCH($K35,Library!$A$3:$A$2000,0)),"NOT FOUND"))</f>
        <v/>
      </c>
      <c r="W35" s="24">
        <f>IF($A35="","",IFERROR($I35/9.81,""))</f>
        <v/>
      </c>
      <c r="X35" s="24">
        <f>IF($A35="","",IFERROR($H35*$I35/1000,""))</f>
        <v/>
      </c>
      <c r="Y35" s="24">
        <f>IF($A35="","",IFERROR(100*$H35*$I35/1000/$J35,""))</f>
        <v/>
      </c>
      <c r="Z35" s="24">
        <f>IF($A35="","",IFERROR(100*$J35/$N35,""))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>
        <f>IF($K36="","",IFERROR(INDEX(Library!$B$3:$B$2000,MATCH($K36,Library!$A$3:$A$2000,0)),"NOT FOUND"))</f>
        <v/>
      </c>
      <c r="M36" s="23">
        <f>IF($K36="","",IFERROR(INDEX(Library!$C$3:$C$2000,MATCH($K36,Library!$A$3:$A$2000,0)),"NOT FOUND"))</f>
        <v/>
      </c>
      <c r="N36" s="23">
        <f>IF($K36="","",IFERROR(INDEX(Library!$D$3:$D$2000,MATCH($K36,Library!$A$3:$A$2000,0)),"NOT FOUND"))</f>
        <v/>
      </c>
      <c r="O36" s="23">
        <f>IF($K36="","",IFERROR(INDEX(Library!$E$3:$E$2000,MATCH($K36,Library!$A$3:$A$2000,0)),"NOT FOUND"))</f>
        <v/>
      </c>
      <c r="P36" s="23">
        <f>IF($K36="","",IFERROR(INDEX(Library!$F$3:$F$2000,MATCH($K36,Library!$A$3:$A$2000,0)),"NOT FOUND"))</f>
        <v/>
      </c>
      <c r="Q36" s="23">
        <f>IF($K36="","",IFERROR(INDEX(Library!$G$3:$G$2000,MATCH($K36,Library!$A$3:$A$2000,0)),"NOT FOUND"))</f>
        <v/>
      </c>
      <c r="R36" s="23">
        <f>IF($K36="","",IFERROR(INDEX(Library!$H$3:$H$2000,MATCH($K36,Library!$A$3:$A$2000,0)),"NOT FOUND"))</f>
        <v/>
      </c>
      <c r="S36" s="23">
        <f>IF($K36="","",IFERROR(INDEX(Library!$I$3:$I$2000,MATCH($K36,Library!$A$3:$A$2000,0)),"NOT FOUND"))</f>
        <v/>
      </c>
      <c r="T36" s="23">
        <f>IF($K36="","",IFERROR(INDEX(Library!$J$3:$J$2000,MATCH($K36,Library!$A$3:$A$2000,0)),"NOT FOUND"))</f>
        <v/>
      </c>
      <c r="U36" s="23">
        <f>IF($K36="","",IFERROR(INDEX(Library!$K$3:$K$2000,MATCH($K36,Library!$A$3:$A$2000,0)),"NOT FOUND"))</f>
        <v/>
      </c>
      <c r="V36" s="23">
        <f>IF($K36="","",IFERROR(INDEX(Library!$L$3:$L$2000,MATCH($K36,Library!$A$3:$A$2000,0)),"NOT FOUND"))</f>
        <v/>
      </c>
      <c r="W36" s="24">
        <f>IF($A36="","",IFERROR($I36/9.81,""))</f>
        <v/>
      </c>
      <c r="X36" s="24">
        <f>IF($A36="","",IFERROR($H36*$I36/1000,""))</f>
        <v/>
      </c>
      <c r="Y36" s="24">
        <f>IF($A36="","",IFERROR(100*$H36*$I36/1000/$J36,""))</f>
        <v/>
      </c>
      <c r="Z36" s="24">
        <f>IF($A36="","",IFERROR(100*$J36/$N36,""))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>
        <f>IF($K37="","",IFERROR(INDEX(Library!$B$3:$B$2000,MATCH($K37,Library!$A$3:$A$2000,0)),"NOT FOUND"))</f>
        <v/>
      </c>
      <c r="M37" s="23">
        <f>IF($K37="","",IFERROR(INDEX(Library!$C$3:$C$2000,MATCH($K37,Library!$A$3:$A$2000,0)),"NOT FOUND"))</f>
        <v/>
      </c>
      <c r="N37" s="23">
        <f>IF($K37="","",IFERROR(INDEX(Library!$D$3:$D$2000,MATCH($K37,Library!$A$3:$A$2000,0)),"NOT FOUND"))</f>
        <v/>
      </c>
      <c r="O37" s="23">
        <f>IF($K37="","",IFERROR(INDEX(Library!$E$3:$E$2000,MATCH($K37,Library!$A$3:$A$2000,0)),"NOT FOUND"))</f>
        <v/>
      </c>
      <c r="P37" s="23">
        <f>IF($K37="","",IFERROR(INDEX(Library!$F$3:$F$2000,MATCH($K37,Library!$A$3:$A$2000,0)),"NOT FOUND"))</f>
        <v/>
      </c>
      <c r="Q37" s="23">
        <f>IF($K37="","",IFERROR(INDEX(Library!$G$3:$G$2000,MATCH($K37,Library!$A$3:$A$2000,0)),"NOT FOUND"))</f>
        <v/>
      </c>
      <c r="R37" s="23">
        <f>IF($K37="","",IFERROR(INDEX(Library!$H$3:$H$2000,MATCH($K37,Library!$A$3:$A$2000,0)),"NOT FOUND"))</f>
        <v/>
      </c>
      <c r="S37" s="23">
        <f>IF($K37="","",IFERROR(INDEX(Library!$I$3:$I$2000,MATCH($K37,Library!$A$3:$A$2000,0)),"NOT FOUND"))</f>
        <v/>
      </c>
      <c r="T37" s="23">
        <f>IF($K37="","",IFERROR(INDEX(Library!$J$3:$J$2000,MATCH($K37,Library!$A$3:$A$2000,0)),"NOT FOUND"))</f>
        <v/>
      </c>
      <c r="U37" s="23">
        <f>IF($K37="","",IFERROR(INDEX(Library!$K$3:$K$2000,MATCH($K37,Library!$A$3:$A$2000,0)),"NOT FOUND"))</f>
        <v/>
      </c>
      <c r="V37" s="23">
        <f>IF($K37="","",IFERROR(INDEX(Library!$L$3:$L$2000,MATCH($K37,Library!$A$3:$A$2000,0)),"NOT FOUND"))</f>
        <v/>
      </c>
      <c r="W37" s="24">
        <f>IF($A37="","",IFERROR($I37/9.81,""))</f>
        <v/>
      </c>
      <c r="X37" s="24">
        <f>IF($A37="","",IFERROR($H37*$I37/1000,""))</f>
        <v/>
      </c>
      <c r="Y37" s="24">
        <f>IF($A37="","",IFERROR(100*$H37*$I37/1000/$J37,""))</f>
        <v/>
      </c>
      <c r="Z37" s="24">
        <f>IF($A37="","",IFERROR(100*$J37/$N37,""))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3">
        <f>IF($K38="","",IFERROR(INDEX(Library!$B$3:$B$2000,MATCH($K38,Library!$A$3:$A$2000,0)),"NOT FOUND"))</f>
        <v/>
      </c>
      <c r="M38" s="23">
        <f>IF($K38="","",IFERROR(INDEX(Library!$C$3:$C$2000,MATCH($K38,Library!$A$3:$A$2000,0)),"NOT FOUND"))</f>
        <v/>
      </c>
      <c r="N38" s="23">
        <f>IF($K38="","",IFERROR(INDEX(Library!$D$3:$D$2000,MATCH($K38,Library!$A$3:$A$2000,0)),"NOT FOUND"))</f>
        <v/>
      </c>
      <c r="O38" s="23">
        <f>IF($K38="","",IFERROR(INDEX(Library!$E$3:$E$2000,MATCH($K38,Library!$A$3:$A$2000,0)),"NOT FOUND"))</f>
        <v/>
      </c>
      <c r="P38" s="23">
        <f>IF($K38="","",IFERROR(INDEX(Library!$F$3:$F$2000,MATCH($K38,Library!$A$3:$A$2000,0)),"NOT FOUND"))</f>
        <v/>
      </c>
      <c r="Q38" s="23">
        <f>IF($K38="","",IFERROR(INDEX(Library!$G$3:$G$2000,MATCH($K38,Library!$A$3:$A$2000,0)),"NOT FOUND"))</f>
        <v/>
      </c>
      <c r="R38" s="23">
        <f>IF($K38="","",IFERROR(INDEX(Library!$H$3:$H$2000,MATCH($K38,Library!$A$3:$A$2000,0)),"NOT FOUND"))</f>
        <v/>
      </c>
      <c r="S38" s="23">
        <f>IF($K38="","",IFERROR(INDEX(Library!$I$3:$I$2000,MATCH($K38,Library!$A$3:$A$2000,0)),"NOT FOUND"))</f>
        <v/>
      </c>
      <c r="T38" s="23">
        <f>IF($K38="","",IFERROR(INDEX(Library!$J$3:$J$2000,MATCH($K38,Library!$A$3:$A$2000,0)),"NOT FOUND"))</f>
        <v/>
      </c>
      <c r="U38" s="23">
        <f>IF($K38="","",IFERROR(INDEX(Library!$K$3:$K$2000,MATCH($K38,Library!$A$3:$A$2000,0)),"NOT FOUND"))</f>
        <v/>
      </c>
      <c r="V38" s="23">
        <f>IF($K38="","",IFERROR(INDEX(Library!$L$3:$L$2000,MATCH($K38,Library!$A$3:$A$2000,0)),"NOT FOUND"))</f>
        <v/>
      </c>
      <c r="W38" s="24">
        <f>IF($A38="","",IFERROR($I38/9.81,""))</f>
        <v/>
      </c>
      <c r="X38" s="24">
        <f>IF($A38="","",IFERROR($H38*$I38/1000,""))</f>
        <v/>
      </c>
      <c r="Y38" s="24">
        <f>IF($A38="","",IFERROR(100*$H38*$I38/1000/$J38,""))</f>
        <v/>
      </c>
      <c r="Z38" s="24">
        <f>IF($A38="","",IFERROR(100*$J38/$N38,""))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3">
        <f>IF($K39="","",IFERROR(INDEX(Library!$B$3:$B$2000,MATCH($K39,Library!$A$3:$A$2000,0)),"NOT FOUND"))</f>
        <v/>
      </c>
      <c r="M39" s="23">
        <f>IF($K39="","",IFERROR(INDEX(Library!$C$3:$C$2000,MATCH($K39,Library!$A$3:$A$2000,0)),"NOT FOUND"))</f>
        <v/>
      </c>
      <c r="N39" s="23">
        <f>IF($K39="","",IFERROR(INDEX(Library!$D$3:$D$2000,MATCH($K39,Library!$A$3:$A$2000,0)),"NOT FOUND"))</f>
        <v/>
      </c>
      <c r="O39" s="23">
        <f>IF($K39="","",IFERROR(INDEX(Library!$E$3:$E$2000,MATCH($K39,Library!$A$3:$A$2000,0)),"NOT FOUND"))</f>
        <v/>
      </c>
      <c r="P39" s="23">
        <f>IF($K39="","",IFERROR(INDEX(Library!$F$3:$F$2000,MATCH($K39,Library!$A$3:$A$2000,0)),"NOT FOUND"))</f>
        <v/>
      </c>
      <c r="Q39" s="23">
        <f>IF($K39="","",IFERROR(INDEX(Library!$G$3:$G$2000,MATCH($K39,Library!$A$3:$A$2000,0)),"NOT FOUND"))</f>
        <v/>
      </c>
      <c r="R39" s="23">
        <f>IF($K39="","",IFERROR(INDEX(Library!$H$3:$H$2000,MATCH($K39,Library!$A$3:$A$2000,0)),"NOT FOUND"))</f>
        <v/>
      </c>
      <c r="S39" s="23">
        <f>IF($K39="","",IFERROR(INDEX(Library!$I$3:$I$2000,MATCH($K39,Library!$A$3:$A$2000,0)),"NOT FOUND"))</f>
        <v/>
      </c>
      <c r="T39" s="23">
        <f>IF($K39="","",IFERROR(INDEX(Library!$J$3:$J$2000,MATCH($K39,Library!$A$3:$A$2000,0)),"NOT FOUND"))</f>
        <v/>
      </c>
      <c r="U39" s="23">
        <f>IF($K39="","",IFERROR(INDEX(Library!$K$3:$K$2000,MATCH($K39,Library!$A$3:$A$2000,0)),"NOT FOUND"))</f>
        <v/>
      </c>
      <c r="V39" s="23">
        <f>IF($K39="","",IFERROR(INDEX(Library!$L$3:$L$2000,MATCH($K39,Library!$A$3:$A$2000,0)),"NOT FOUND"))</f>
        <v/>
      </c>
      <c r="W39" s="24">
        <f>IF($A39="","",IFERROR($I39/9.81,""))</f>
        <v/>
      </c>
      <c r="X39" s="24">
        <f>IF($A39="","",IFERROR($H39*$I39/1000,""))</f>
        <v/>
      </c>
      <c r="Y39" s="24">
        <f>IF($A39="","",IFERROR(100*$H39*$I39/1000/$J39,""))</f>
        <v/>
      </c>
      <c r="Z39" s="24">
        <f>IF($A39="","",IFERROR(100*$J39/$N39,""))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3">
        <f>IF($K40="","",IFERROR(INDEX(Library!$B$3:$B$2000,MATCH($K40,Library!$A$3:$A$2000,0)),"NOT FOUND"))</f>
        <v/>
      </c>
      <c r="M40" s="23">
        <f>IF($K40="","",IFERROR(INDEX(Library!$C$3:$C$2000,MATCH($K40,Library!$A$3:$A$2000,0)),"NOT FOUND"))</f>
        <v/>
      </c>
      <c r="N40" s="23">
        <f>IF($K40="","",IFERROR(INDEX(Library!$D$3:$D$2000,MATCH($K40,Library!$A$3:$A$2000,0)),"NOT FOUND"))</f>
        <v/>
      </c>
      <c r="O40" s="23">
        <f>IF($K40="","",IFERROR(INDEX(Library!$E$3:$E$2000,MATCH($K40,Library!$A$3:$A$2000,0)),"NOT FOUND"))</f>
        <v/>
      </c>
      <c r="P40" s="23">
        <f>IF($K40="","",IFERROR(INDEX(Library!$F$3:$F$2000,MATCH($K40,Library!$A$3:$A$2000,0)),"NOT FOUND"))</f>
        <v/>
      </c>
      <c r="Q40" s="23">
        <f>IF($K40="","",IFERROR(INDEX(Library!$G$3:$G$2000,MATCH($K40,Library!$A$3:$A$2000,0)),"NOT FOUND"))</f>
        <v/>
      </c>
      <c r="R40" s="23">
        <f>IF($K40="","",IFERROR(INDEX(Library!$H$3:$H$2000,MATCH($K40,Library!$A$3:$A$2000,0)),"NOT FOUND"))</f>
        <v/>
      </c>
      <c r="S40" s="23">
        <f>IF($K40="","",IFERROR(INDEX(Library!$I$3:$I$2000,MATCH($K40,Library!$A$3:$A$2000,0)),"NOT FOUND"))</f>
        <v/>
      </c>
      <c r="T40" s="23">
        <f>IF($K40="","",IFERROR(INDEX(Library!$J$3:$J$2000,MATCH($K40,Library!$A$3:$A$2000,0)),"NOT FOUND"))</f>
        <v/>
      </c>
      <c r="U40" s="23">
        <f>IF($K40="","",IFERROR(INDEX(Library!$K$3:$K$2000,MATCH($K40,Library!$A$3:$A$2000,0)),"NOT FOUND"))</f>
        <v/>
      </c>
      <c r="V40" s="23">
        <f>IF($K40="","",IFERROR(INDEX(Library!$L$3:$L$2000,MATCH($K40,Library!$A$3:$A$2000,0)),"NOT FOUND"))</f>
        <v/>
      </c>
      <c r="W40" s="24">
        <f>IF($A40="","",IFERROR($I40/9.81,""))</f>
        <v/>
      </c>
      <c r="X40" s="24">
        <f>IF($A40="","",IFERROR($H40*$I40/1000,""))</f>
        <v/>
      </c>
      <c r="Y40" s="24">
        <f>IF($A40="","",IFERROR(100*$H40*$I40/1000/$J40,""))</f>
        <v/>
      </c>
      <c r="Z40" s="24">
        <f>IF($A40="","",IFERROR(100*$J40/$N40,""))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3">
        <f>IF($K41="","",IFERROR(INDEX(Library!$B$3:$B$2000,MATCH($K41,Library!$A$3:$A$2000,0)),"NOT FOUND"))</f>
        <v/>
      </c>
      <c r="M41" s="23">
        <f>IF($K41="","",IFERROR(INDEX(Library!$C$3:$C$2000,MATCH($K41,Library!$A$3:$A$2000,0)),"NOT FOUND"))</f>
        <v/>
      </c>
      <c r="N41" s="23">
        <f>IF($K41="","",IFERROR(INDEX(Library!$D$3:$D$2000,MATCH($K41,Library!$A$3:$A$2000,0)),"NOT FOUND"))</f>
        <v/>
      </c>
      <c r="O41" s="23">
        <f>IF($K41="","",IFERROR(INDEX(Library!$E$3:$E$2000,MATCH($K41,Library!$A$3:$A$2000,0)),"NOT FOUND"))</f>
        <v/>
      </c>
      <c r="P41" s="23">
        <f>IF($K41="","",IFERROR(INDEX(Library!$F$3:$F$2000,MATCH($K41,Library!$A$3:$A$2000,0)),"NOT FOUND"))</f>
        <v/>
      </c>
      <c r="Q41" s="23">
        <f>IF($K41="","",IFERROR(INDEX(Library!$G$3:$G$2000,MATCH($K41,Library!$A$3:$A$2000,0)),"NOT FOUND"))</f>
        <v/>
      </c>
      <c r="R41" s="23">
        <f>IF($K41="","",IFERROR(INDEX(Library!$H$3:$H$2000,MATCH($K41,Library!$A$3:$A$2000,0)),"NOT FOUND"))</f>
        <v/>
      </c>
      <c r="S41" s="23">
        <f>IF($K41="","",IFERROR(INDEX(Library!$I$3:$I$2000,MATCH($K41,Library!$A$3:$A$2000,0)),"NOT FOUND"))</f>
        <v/>
      </c>
      <c r="T41" s="23">
        <f>IF($K41="","",IFERROR(INDEX(Library!$J$3:$J$2000,MATCH($K41,Library!$A$3:$A$2000,0)),"NOT FOUND"))</f>
        <v/>
      </c>
      <c r="U41" s="23">
        <f>IF($K41="","",IFERROR(INDEX(Library!$K$3:$K$2000,MATCH($K41,Library!$A$3:$A$2000,0)),"NOT FOUND"))</f>
        <v/>
      </c>
      <c r="V41" s="23">
        <f>IF($K41="","",IFERROR(INDEX(Library!$L$3:$L$2000,MATCH($K41,Library!$A$3:$A$2000,0)),"NOT FOUND"))</f>
        <v/>
      </c>
      <c r="W41" s="24">
        <f>IF($A41="","",IFERROR($I41/9.81,""))</f>
        <v/>
      </c>
      <c r="X41" s="24">
        <f>IF($A41="","",IFERROR($H41*$I41/1000,""))</f>
        <v/>
      </c>
      <c r="Y41" s="24">
        <f>IF($A41="","",IFERROR(100*$H41*$I41/1000/$J41,""))</f>
        <v/>
      </c>
      <c r="Z41" s="24">
        <f>IF($A41="","",IFERROR(100*$J41/$N41,""))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3">
        <f>IF($K42="","",IFERROR(INDEX(Library!$B$3:$B$2000,MATCH($K42,Library!$A$3:$A$2000,0)),"NOT FOUND"))</f>
        <v/>
      </c>
      <c r="M42" s="23">
        <f>IF($K42="","",IFERROR(INDEX(Library!$C$3:$C$2000,MATCH($K42,Library!$A$3:$A$2000,0)),"NOT FOUND"))</f>
        <v/>
      </c>
      <c r="N42" s="23">
        <f>IF($K42="","",IFERROR(INDEX(Library!$D$3:$D$2000,MATCH($K42,Library!$A$3:$A$2000,0)),"NOT FOUND"))</f>
        <v/>
      </c>
      <c r="O42" s="23">
        <f>IF($K42="","",IFERROR(INDEX(Library!$E$3:$E$2000,MATCH($K42,Library!$A$3:$A$2000,0)),"NOT FOUND"))</f>
        <v/>
      </c>
      <c r="P42" s="23">
        <f>IF($K42="","",IFERROR(INDEX(Library!$F$3:$F$2000,MATCH($K42,Library!$A$3:$A$2000,0)),"NOT FOUND"))</f>
        <v/>
      </c>
      <c r="Q42" s="23">
        <f>IF($K42="","",IFERROR(INDEX(Library!$G$3:$G$2000,MATCH($K42,Library!$A$3:$A$2000,0)),"NOT FOUND"))</f>
        <v/>
      </c>
      <c r="R42" s="23">
        <f>IF($K42="","",IFERROR(INDEX(Library!$H$3:$H$2000,MATCH($K42,Library!$A$3:$A$2000,0)),"NOT FOUND"))</f>
        <v/>
      </c>
      <c r="S42" s="23">
        <f>IF($K42="","",IFERROR(INDEX(Library!$I$3:$I$2000,MATCH($K42,Library!$A$3:$A$2000,0)),"NOT FOUND"))</f>
        <v/>
      </c>
      <c r="T42" s="23">
        <f>IF($K42="","",IFERROR(INDEX(Library!$J$3:$J$2000,MATCH($K42,Library!$A$3:$A$2000,0)),"NOT FOUND"))</f>
        <v/>
      </c>
      <c r="U42" s="23">
        <f>IF($K42="","",IFERROR(INDEX(Library!$K$3:$K$2000,MATCH($K42,Library!$A$3:$A$2000,0)),"NOT FOUND"))</f>
        <v/>
      </c>
      <c r="V42" s="23">
        <f>IF($K42="","",IFERROR(INDEX(Library!$L$3:$L$2000,MATCH($K42,Library!$A$3:$A$2000,0)),"NOT FOUND"))</f>
        <v/>
      </c>
      <c r="W42" s="24">
        <f>IF($A42="","",IFERROR($I42/9.81,""))</f>
        <v/>
      </c>
      <c r="X42" s="24">
        <f>IF($A42="","",IFERROR($H42*$I42/1000,""))</f>
        <v/>
      </c>
      <c r="Y42" s="24">
        <f>IF($A42="","",IFERROR(100*$H42*$I42/1000/$J42,""))</f>
        <v/>
      </c>
      <c r="Z42" s="24">
        <f>IF($A42="","",IFERROR(100*$J42/$N42,""))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3">
        <f>IF($K43="","",IFERROR(INDEX(Library!$B$3:$B$2000,MATCH($K43,Library!$A$3:$A$2000,0)),"NOT FOUND"))</f>
        <v/>
      </c>
      <c r="M43" s="23">
        <f>IF($K43="","",IFERROR(INDEX(Library!$C$3:$C$2000,MATCH($K43,Library!$A$3:$A$2000,0)),"NOT FOUND"))</f>
        <v/>
      </c>
      <c r="N43" s="23">
        <f>IF($K43="","",IFERROR(INDEX(Library!$D$3:$D$2000,MATCH($K43,Library!$A$3:$A$2000,0)),"NOT FOUND"))</f>
        <v/>
      </c>
      <c r="O43" s="23">
        <f>IF($K43="","",IFERROR(INDEX(Library!$E$3:$E$2000,MATCH($K43,Library!$A$3:$A$2000,0)),"NOT FOUND"))</f>
        <v/>
      </c>
      <c r="P43" s="23">
        <f>IF($K43="","",IFERROR(INDEX(Library!$F$3:$F$2000,MATCH($K43,Library!$A$3:$A$2000,0)),"NOT FOUND"))</f>
        <v/>
      </c>
      <c r="Q43" s="23">
        <f>IF($K43="","",IFERROR(INDEX(Library!$G$3:$G$2000,MATCH($K43,Library!$A$3:$A$2000,0)),"NOT FOUND"))</f>
        <v/>
      </c>
      <c r="R43" s="23">
        <f>IF($K43="","",IFERROR(INDEX(Library!$H$3:$H$2000,MATCH($K43,Library!$A$3:$A$2000,0)),"NOT FOUND"))</f>
        <v/>
      </c>
      <c r="S43" s="23">
        <f>IF($K43="","",IFERROR(INDEX(Library!$I$3:$I$2000,MATCH($K43,Library!$A$3:$A$2000,0)),"NOT FOUND"))</f>
        <v/>
      </c>
      <c r="T43" s="23">
        <f>IF($K43="","",IFERROR(INDEX(Library!$J$3:$J$2000,MATCH($K43,Library!$A$3:$A$2000,0)),"NOT FOUND"))</f>
        <v/>
      </c>
      <c r="U43" s="23">
        <f>IF($K43="","",IFERROR(INDEX(Library!$K$3:$K$2000,MATCH($K43,Library!$A$3:$A$2000,0)),"NOT FOUND"))</f>
        <v/>
      </c>
      <c r="V43" s="23">
        <f>IF($K43="","",IFERROR(INDEX(Library!$L$3:$L$2000,MATCH($K43,Library!$A$3:$A$2000,0)),"NOT FOUND"))</f>
        <v/>
      </c>
      <c r="W43" s="24">
        <f>IF($A43="","",IFERROR($I43/9.81,""))</f>
        <v/>
      </c>
      <c r="X43" s="24">
        <f>IF($A43="","",IFERROR($H43*$I43/1000,""))</f>
        <v/>
      </c>
      <c r="Y43" s="24">
        <f>IF($A43="","",IFERROR(100*$H43*$I43/1000/$J43,""))</f>
        <v/>
      </c>
      <c r="Z43" s="24">
        <f>IF($A43="","",IFERROR(100*$J43/$N43,""))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3">
        <f>IF($K44="","",IFERROR(INDEX(Library!$B$3:$B$2000,MATCH($K44,Library!$A$3:$A$2000,0)),"NOT FOUND"))</f>
        <v/>
      </c>
      <c r="M44" s="23">
        <f>IF($K44="","",IFERROR(INDEX(Library!$C$3:$C$2000,MATCH($K44,Library!$A$3:$A$2000,0)),"NOT FOUND"))</f>
        <v/>
      </c>
      <c r="N44" s="23">
        <f>IF($K44="","",IFERROR(INDEX(Library!$D$3:$D$2000,MATCH($K44,Library!$A$3:$A$2000,0)),"NOT FOUND"))</f>
        <v/>
      </c>
      <c r="O44" s="23">
        <f>IF($K44="","",IFERROR(INDEX(Library!$E$3:$E$2000,MATCH($K44,Library!$A$3:$A$2000,0)),"NOT FOUND"))</f>
        <v/>
      </c>
      <c r="P44" s="23">
        <f>IF($K44="","",IFERROR(INDEX(Library!$F$3:$F$2000,MATCH($K44,Library!$A$3:$A$2000,0)),"NOT FOUND"))</f>
        <v/>
      </c>
      <c r="Q44" s="23">
        <f>IF($K44="","",IFERROR(INDEX(Library!$G$3:$G$2000,MATCH($K44,Library!$A$3:$A$2000,0)),"NOT FOUND"))</f>
        <v/>
      </c>
      <c r="R44" s="23">
        <f>IF($K44="","",IFERROR(INDEX(Library!$H$3:$H$2000,MATCH($K44,Library!$A$3:$A$2000,0)),"NOT FOUND"))</f>
        <v/>
      </c>
      <c r="S44" s="23">
        <f>IF($K44="","",IFERROR(INDEX(Library!$I$3:$I$2000,MATCH($K44,Library!$A$3:$A$2000,0)),"NOT FOUND"))</f>
        <v/>
      </c>
      <c r="T44" s="23">
        <f>IF($K44="","",IFERROR(INDEX(Library!$J$3:$J$2000,MATCH($K44,Library!$A$3:$A$2000,0)),"NOT FOUND"))</f>
        <v/>
      </c>
      <c r="U44" s="23">
        <f>IF($K44="","",IFERROR(INDEX(Library!$K$3:$K$2000,MATCH($K44,Library!$A$3:$A$2000,0)),"NOT FOUND"))</f>
        <v/>
      </c>
      <c r="V44" s="23">
        <f>IF($K44="","",IFERROR(INDEX(Library!$L$3:$L$2000,MATCH($K44,Library!$A$3:$A$2000,0)),"NOT FOUND"))</f>
        <v/>
      </c>
      <c r="W44" s="24">
        <f>IF($A44="","",IFERROR($I44/9.81,""))</f>
        <v/>
      </c>
      <c r="X44" s="24">
        <f>IF($A44="","",IFERROR($H44*$I44/1000,""))</f>
        <v/>
      </c>
      <c r="Y44" s="24">
        <f>IF($A44="","",IFERROR(100*$H44*$I44/1000/$J44,""))</f>
        <v/>
      </c>
      <c r="Z44" s="24">
        <f>IF($A44="","",IFERROR(100*$J44/$N44,""))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>
        <f>IF($K45="","",IFERROR(INDEX(Library!$B$3:$B$2000,MATCH($K45,Library!$A$3:$A$2000,0)),"NOT FOUND"))</f>
        <v/>
      </c>
      <c r="M45" s="23">
        <f>IF($K45="","",IFERROR(INDEX(Library!$C$3:$C$2000,MATCH($K45,Library!$A$3:$A$2000,0)),"NOT FOUND"))</f>
        <v/>
      </c>
      <c r="N45" s="23">
        <f>IF($K45="","",IFERROR(INDEX(Library!$D$3:$D$2000,MATCH($K45,Library!$A$3:$A$2000,0)),"NOT FOUND"))</f>
        <v/>
      </c>
      <c r="O45" s="23">
        <f>IF($K45="","",IFERROR(INDEX(Library!$E$3:$E$2000,MATCH($K45,Library!$A$3:$A$2000,0)),"NOT FOUND"))</f>
        <v/>
      </c>
      <c r="P45" s="23">
        <f>IF($K45="","",IFERROR(INDEX(Library!$F$3:$F$2000,MATCH($K45,Library!$A$3:$A$2000,0)),"NOT FOUND"))</f>
        <v/>
      </c>
      <c r="Q45" s="23">
        <f>IF($K45="","",IFERROR(INDEX(Library!$G$3:$G$2000,MATCH($K45,Library!$A$3:$A$2000,0)),"NOT FOUND"))</f>
        <v/>
      </c>
      <c r="R45" s="23">
        <f>IF($K45="","",IFERROR(INDEX(Library!$H$3:$H$2000,MATCH($K45,Library!$A$3:$A$2000,0)),"NOT FOUND"))</f>
        <v/>
      </c>
      <c r="S45" s="23">
        <f>IF($K45="","",IFERROR(INDEX(Library!$I$3:$I$2000,MATCH($K45,Library!$A$3:$A$2000,0)),"NOT FOUND"))</f>
        <v/>
      </c>
      <c r="T45" s="23">
        <f>IF($K45="","",IFERROR(INDEX(Library!$J$3:$J$2000,MATCH($K45,Library!$A$3:$A$2000,0)),"NOT FOUND"))</f>
        <v/>
      </c>
      <c r="U45" s="23">
        <f>IF($K45="","",IFERROR(INDEX(Library!$K$3:$K$2000,MATCH($K45,Library!$A$3:$A$2000,0)),"NOT FOUND"))</f>
        <v/>
      </c>
      <c r="V45" s="23">
        <f>IF($K45="","",IFERROR(INDEX(Library!$L$3:$L$2000,MATCH($K45,Library!$A$3:$A$2000,0)),"NOT FOUND"))</f>
        <v/>
      </c>
      <c r="W45" s="24">
        <f>IF($A45="","",IFERROR($I45/9.81,""))</f>
        <v/>
      </c>
      <c r="X45" s="24">
        <f>IF($A45="","",IFERROR($H45*$I45/1000,""))</f>
        <v/>
      </c>
      <c r="Y45" s="24">
        <f>IF($A45="","",IFERROR(100*$H45*$I45/1000/$J45,""))</f>
        <v/>
      </c>
      <c r="Z45" s="24">
        <f>IF($A45="","",IFERROR(100*$J45/$N45,""))</f>
        <v/>
      </c>
    </row>
  </sheetData>
  <mergeCells count="2">
    <mergeCell ref="A1:Z1"/>
    <mergeCell ref="A2:Z3"/>
  </mergeCells>
  <dataValidations count="1">
    <dataValidation sqref="K6:K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PUMP</t>
        </is>
      </c>
    </row>
    <row r="3">
      <c r="A3" s="26" t="inlineStr">
        <is>
          <t>ScheduleName</t>
        </is>
      </c>
      <c r="B3" s="26" t="inlineStr">
        <is>
          <t>Pump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Z9A6461Y19-BOV-5_6-PROJECTNUMBER-SC-M-00000013-G00300-XX-XX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Pump Type</t>
        </is>
      </c>
      <c r="D1" s="28" t="inlineStr">
        <is>
          <t>Motor Rated Power</t>
        </is>
      </c>
      <c r="E1" s="28" t="inlineStr">
        <is>
          <t>Motor Efficiency Class</t>
        </is>
      </c>
      <c r="F1" s="28" t="inlineStr">
        <is>
          <t>Speed Control</t>
        </is>
      </c>
      <c r="G1" s="28" t="inlineStr">
        <is>
          <t>Electrical Supply</t>
        </is>
      </c>
      <c r="H1" s="28" t="inlineStr">
        <is>
          <t>Connection Size</t>
        </is>
      </c>
      <c r="I1" s="28" t="inlineStr">
        <is>
          <t>Length</t>
        </is>
      </c>
      <c r="J1" s="28" t="inlineStr">
        <is>
          <t>Width</t>
        </is>
      </c>
      <c r="K1" s="28" t="inlineStr">
        <is>
          <t>Height</t>
        </is>
      </c>
      <c r="L1" s="28" t="inlineStr">
        <is>
          <t>Weight</t>
        </is>
      </c>
    </row>
    <row r="2">
      <c r="A2" s="27" t="inlineStr"/>
      <c r="B2" s="27" t="inlineStr"/>
      <c r="C2" s="27" t="inlineStr"/>
      <c r="D2" s="27" t="inlineStr">
        <is>
          <t>kW</t>
        </is>
      </c>
      <c r="E2" s="27" t="inlineStr"/>
      <c r="F2" s="27" t="inlineStr"/>
      <c r="G2" s="27" t="inlineStr"/>
      <c r="H2" s="27" t="inlineStr">
        <is>
          <t>mm</t>
        </is>
      </c>
      <c r="I2" s="27" t="inlineStr">
        <is>
          <t>mm</t>
        </is>
      </c>
      <c r="J2" s="27" t="inlineStr">
        <is>
          <t>mm</t>
        </is>
      </c>
      <c r="K2" s="27" t="inlineStr">
        <is>
          <t>mm</t>
        </is>
      </c>
      <c r="L2" s="27" t="inlineStr">
        <is>
          <t>kg</t>
        </is>
      </c>
    </row>
    <row r="3">
      <c r="A3" s="29" t="inlineStr">
        <is>
          <t>PUMP-EXAMPLE-01</t>
        </is>
      </c>
      <c r="B3" s="29" t="inlineStr">
        <is>
          <t>Grundfos</t>
        </is>
      </c>
      <c r="C3" s="29" t="inlineStr">
        <is>
          <t>Inline Twin Head</t>
        </is>
      </c>
      <c r="D3" s="29" t="n">
        <v>1.5</v>
      </c>
      <c r="E3" s="29" t="inlineStr">
        <is>
          <t>IE5</t>
        </is>
      </c>
      <c r="F3" s="29" t="inlineStr">
        <is>
          <t>Integrated VSD</t>
        </is>
      </c>
      <c r="G3" s="29" t="inlineStr">
        <is>
          <t>400V/3ph/50Hz</t>
        </is>
      </c>
      <c r="H3" s="29" t="n">
        <v>50</v>
      </c>
      <c r="I3" s="29" t="n">
        <v>480</v>
      </c>
      <c r="J3" s="29" t="n">
        <v>320</v>
      </c>
      <c r="K3" s="29" t="n">
        <v>560</v>
      </c>
      <c r="L3" s="2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2026-08-25T12:43:55Z</dcterms:created>
  <dcterms:modified xmlns:dcterms="http://purl.org/dc/terms/" xmlns:xsi="http://www.w3.org/2001/XMLSchema-instance" xsi:type="dcterms:W3CDTF">2026-08-25T12:43:55Z</dcterms:modified>
</cp:coreProperties>
</file>