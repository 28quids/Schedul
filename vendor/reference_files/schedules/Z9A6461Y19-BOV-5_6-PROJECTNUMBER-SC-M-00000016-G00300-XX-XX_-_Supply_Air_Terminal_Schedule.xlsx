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Front Cover" sheetId="2" state="visible" r:id="rId2"/>
    <sheet xmlns:r="http://schemas.openxmlformats.org/officeDocument/2006/relationships" name="Revision page" sheetId="3" state="visible" r:id="rId3"/>
    <sheet xmlns:r="http://schemas.openxmlformats.org/officeDocument/2006/relationships" name="Schedule" sheetId="4" state="visible" r:id="rId4"/>
    <sheet xmlns:r="http://schemas.openxmlformats.org/officeDocument/2006/relationships" name="Config" sheetId="5" state="hidden" r:id="rId5"/>
    <sheet xmlns:r="http://schemas.openxmlformats.org/officeDocument/2006/relationships" name="Lists" sheetId="6" state="hidden" r:id="rId6"/>
    <sheet xmlns:r="http://schemas.openxmlformats.org/officeDocument/2006/relationships" name="Library" sheetId="7" state="hidden" r:id="rId7"/>
  </sheets>
  <definedNames>
    <definedName name="SETUP_LPHWF">Config!$B$18</definedName>
    <definedName name="SETUP_LPHWR">Config!$B$19</definedName>
    <definedName name="SETUP_CHWF">Config!$B$20</definedName>
    <definedName name="SETUP_CHWR">Config!$B$21</definedName>
    <definedName name="SETUP_CP">Config!$B$23</definedName>
    <definedName name="SETUP_N">Config!$B$24</definedName>
    <definedName name="SETUP_AMBIENT">Config!$B$22</definedName>
    <definedName name="_xlnm.Print_Area" localSheetId="1">'Front Cover'!$A$1:$G$50</definedName>
    <definedName name="_xlnm.Print_Area" localSheetId="2">'Revision page'!$A$1:$G$61</definedName>
    <definedName name="_xlnm.Print_Titles" localSheetId="3">'Schedule'!$1:$5</definedName>
    <definedName name="_xlnm.Print_Area" localSheetId="3">'Schedule'!$A$1:$U$45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7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i val="1"/>
      <color rgb="00595959"/>
      <sz val="8"/>
    </font>
    <font>
      <name val="Arial"/>
      <b val="1"/>
      <sz val="8"/>
    </font>
    <font>
      <name val="Arial"/>
      <sz val="8"/>
    </font>
    <font>
      <name val="Verdana"/>
      <b val="1"/>
      <sz val="9"/>
    </font>
    <font>
      <name val="Verdana"/>
      <b val="1"/>
      <color rgb="004D4D4D"/>
      <sz val="30"/>
    </font>
    <font>
      <name val="Verdana"/>
      <b val="1"/>
      <color rgb="00009DF0"/>
      <sz val="30"/>
    </font>
    <font>
      <name val="Verdana"/>
      <sz val="11"/>
    </font>
    <font>
      <name val="Verdana"/>
      <b val="1"/>
      <sz val="11"/>
    </font>
    <font>
      <name val="Verdana"/>
      <i val="1"/>
      <color rgb="00595959"/>
      <sz val="8"/>
    </font>
    <font>
      <name val="Verdana"/>
      <color rgb="000000FF"/>
      <sz val="9"/>
    </font>
    <font>
      <name val="Arial"/>
      <b val="1"/>
      <sz val="12"/>
    </font>
    <font>
      <name val="Arial"/>
      <color rgb="000000FF"/>
      <sz val="8"/>
    </font>
    <font>
      <name val="Arial"/>
      <color rgb="00008000"/>
      <sz val="8"/>
    </font>
    <font>
      <name val="Arial"/>
      <color rgb="00000000"/>
      <sz val="8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CC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164" fontId="10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164" fontId="12" fillId="3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2" fontId="16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Schedule Generator</author>
  </authors>
  <commentList>
    <comment ref="S4" authorId="0" shapeId="0">
      <text>
        <t>Quantity multiplied by airflow per terminal.</t>
      </text>
    </comment>
    <comment ref="T4" authorId="0" shapeId="0">
      <text>
        <t>Airflow per terminal divided by free area.</t>
      </text>
    </comment>
    <comment ref="U4" authorId="0" shapeId="0">
      <text>
        <t>Airflow per terminal divided by neck area. Aim below about 3 m/s on occupied-space branches.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DocumentNumber</t>
        </is>
      </c>
      <c r="B2">
        <f>'Revision page'!B19</f>
        <v/>
      </c>
    </row>
    <row r="3">
      <c r="A3" t="inlineStr">
        <is>
          <t>ScheduleName</t>
        </is>
      </c>
      <c r="B3">
        <f>'Revision page'!B22</f>
        <v/>
      </c>
    </row>
    <row r="4">
      <c r="A4" t="inlineStr">
        <is>
          <t>Revision</t>
        </is>
      </c>
      <c r="B4">
        <f>'Revision page'!B14</f>
        <v/>
      </c>
    </row>
    <row r="5">
      <c r="A5" t="inlineStr">
        <is>
          <t>IssueDate</t>
        </is>
      </c>
      <c r="B5" s="1">
        <f>'Revision page'!B15</f>
        <v/>
      </c>
    </row>
    <row r="6">
      <c r="A6" t="inlineStr">
        <is>
          <t>Status</t>
        </is>
      </c>
      <c r="B6">
        <f>'Revision page'!B20</f>
        <v/>
      </c>
    </row>
    <row r="7">
      <c r="A7" t="inlineStr">
        <is>
          <t>StatusDescription</t>
        </is>
      </c>
      <c r="B7">
        <f>'Revision page'!B21</f>
        <v/>
      </c>
    </row>
    <row r="8">
      <c r="A8" t="inlineStr">
        <is>
          <t>EquipmentCode</t>
        </is>
      </c>
      <c r="B8">
        <f>Config!$B$2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1:G42"/>
  <sheetViews>
    <sheetView showGridLines="0" workbookViewId="0">
      <selection activeCell="A1" sqref="A1"/>
    </sheetView>
  </sheetViews>
  <sheetFormatPr baseColWidth="8" defaultRowHeight="15"/>
  <cols>
    <col width="11.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</cols>
  <sheetData>
    <row r="11">
      <c r="A11" s="2" t="inlineStr">
        <is>
          <t>Intended for</t>
        </is>
      </c>
    </row>
    <row r="12">
      <c r="A12" s="2">
        <f>Config!$B$5</f>
        <v/>
      </c>
    </row>
    <row r="14">
      <c r="A14" s="2" t="inlineStr">
        <is>
          <t>Date</t>
        </is>
      </c>
    </row>
    <row r="15">
      <c r="A15" s="3">
        <f>'Revision page'!B15</f>
        <v/>
      </c>
    </row>
    <row r="17">
      <c r="A17" s="2" t="inlineStr">
        <is>
          <t>Document number</t>
        </is>
      </c>
    </row>
    <row r="18">
      <c r="A18" s="2">
        <f>'Revision page'!B19</f>
        <v/>
      </c>
    </row>
    <row r="20">
      <c r="A20" s="2" t="inlineStr">
        <is>
          <t>Revision</t>
        </is>
      </c>
    </row>
    <row r="21">
      <c r="A21" s="2">
        <f>'Revision page'!B14&amp;"  "&amp;'Revision page'!B20</f>
        <v/>
      </c>
    </row>
    <row r="41" ht="40" customHeight="1">
      <c r="A41" s="4">
        <f>Config!$B$6</f>
        <v/>
      </c>
    </row>
    <row r="42" ht="40" customHeight="1">
      <c r="A42" s="5" t="inlineStr">
        <is>
          <t>SUPPLY AIR TERMINAL SCHEDULE</t>
        </is>
      </c>
    </row>
  </sheetData>
  <mergeCells count="2">
    <mergeCell ref="A41:G41"/>
    <mergeCell ref="A42:G42"/>
  </mergeCells>
  <pageMargins left="0.75" right="0.75" top="1" bottom="1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3:G6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3" customWidth="1" min="4" max="4"/>
    <col width="13" customWidth="1" min="5" max="5"/>
    <col width="13" customWidth="1" min="6" max="6"/>
    <col width="48" customWidth="1" min="7" max="7"/>
  </cols>
  <sheetData>
    <row r="3" ht="40" customHeight="1">
      <c r="A3" s="4">
        <f>Config!$B$6</f>
        <v/>
      </c>
    </row>
    <row r="4" ht="40" customHeight="1">
      <c r="A4" s="5" t="inlineStr">
        <is>
          <t>SUPPLY AIR TERMINAL SCHEDULE</t>
        </is>
      </c>
    </row>
    <row r="10">
      <c r="A10" s="6" t="inlineStr">
        <is>
          <t>Project Name</t>
        </is>
      </c>
      <c r="B10" s="7">
        <f>Config!$B$6</f>
        <v/>
      </c>
    </row>
    <row r="11">
      <c r="A11" s="6" t="inlineStr">
        <is>
          <t>Project no.</t>
        </is>
      </c>
      <c r="B11" s="7">
        <f>Config!$B$7</f>
        <v/>
      </c>
    </row>
    <row r="12">
      <c r="A12" s="6" t="inlineStr">
        <is>
          <t>Recipient</t>
        </is>
      </c>
      <c r="B12" s="7">
        <f>Config!$B$5</f>
        <v/>
      </c>
    </row>
    <row r="13">
      <c r="A13" s="6" t="inlineStr">
        <is>
          <t>Document type</t>
        </is>
      </c>
      <c r="B13" s="7" t="inlineStr">
        <is>
          <t>SC</t>
        </is>
      </c>
    </row>
    <row r="14">
      <c r="A14" s="6" t="inlineStr">
        <is>
          <t>Revision</t>
        </is>
      </c>
      <c r="B14" s="7">
        <f>IFERROR(IF(INDEX($A$42:$A$61,MAX(1,COUNTA($A$42:$A$61)))="","",IF(INDEX($A$42:$A$61,MAX(1,COUNTA($A$42:$A$61)))=0,"",INDEX($A$42:$A$61,MAX(1,COUNTA($A$42:$A$61))))),"")</f>
        <v/>
      </c>
    </row>
    <row r="15">
      <c r="A15" s="6" t="inlineStr">
        <is>
          <t>Date</t>
        </is>
      </c>
      <c r="B15" s="8">
        <f>IFERROR(IF(INDEX($C$42:$C$61,MAX(1,COUNTA($A$42:$A$61)))="","",IF(INDEX($C$42:$C$61,MAX(1,COUNTA($A$42:$A$61)))=0,"",INDEX($C$42:$C$61,MAX(1,COUNTA($A$42:$A$61))))),"")</f>
        <v/>
      </c>
    </row>
    <row r="16">
      <c r="A16" s="6" t="inlineStr">
        <is>
          <t>Prepared by</t>
        </is>
      </c>
      <c r="B16" s="7">
        <f>IFERROR(IF(INDEX($D$42:$D$61,MAX(1,COUNTA($A$42:$A$61)))="","",IF(INDEX($D$42:$D$61,MAX(1,COUNTA($A$42:$A$61)))=0,"",INDEX($D$42:$D$61,MAX(1,COUNTA($A$42:$A$61))))),"")</f>
        <v/>
      </c>
    </row>
    <row r="17">
      <c r="A17" s="6" t="inlineStr">
        <is>
          <t>Checked by</t>
        </is>
      </c>
      <c r="B17" s="7">
        <f>IFERROR(IF(INDEX($E$42:$E$61,MAX(1,COUNTA($A$42:$A$61)))="","",IF(INDEX($E$42:$E$61,MAX(1,COUNTA($A$42:$A$61)))=0,"",INDEX($E$42:$E$61,MAX(1,COUNTA($A$42:$A$61))))),"")</f>
        <v/>
      </c>
    </row>
    <row r="18">
      <c r="A18" s="6" t="inlineStr">
        <is>
          <t>Approved by</t>
        </is>
      </c>
      <c r="B18" s="7">
        <f>IFERROR(IF(INDEX($F$42:$F$61,MAX(1,COUNTA($A$42:$A$61)))="","",IF(INDEX($F$42:$F$61,MAX(1,COUNTA($A$42:$A$61)))=0,"",INDEX($F$42:$F$61,MAX(1,COUNTA($A$42:$A$61))))),"")</f>
        <v/>
      </c>
    </row>
    <row r="19">
      <c r="A19" s="6" t="inlineStr">
        <is>
          <t>Document no</t>
        </is>
      </c>
      <c r="B19" s="7">
        <f>Config!$B$4</f>
        <v/>
      </c>
    </row>
    <row r="20">
      <c r="A20" s="6" t="inlineStr">
        <is>
          <t>Suitability Status</t>
        </is>
      </c>
      <c r="B20" s="7">
        <f>IFERROR(LEFT(INDEX($B$42:$B$61,MAX(1,COUNTA($A$42:$A$61))),FIND(" -",INDEX($B$42:$B$61,MAX(1,COUNTA($A$42:$A$61))))-1),"")</f>
        <v/>
      </c>
    </row>
    <row r="21">
      <c r="A21" s="6" t="inlineStr">
        <is>
          <t>Suitability Description</t>
        </is>
      </c>
      <c r="B21" s="7">
        <f>IFERROR(MID(INDEX($B$42:$B$61,MAX(1,COUNTA($A$42:$A$61))),FIND("- ",INDEX($B$42:$B$61,MAX(1,COUNTA($A$42:$A$61))))+2,200),"")</f>
        <v/>
      </c>
    </row>
    <row r="22">
      <c r="A22" s="6" t="inlineStr">
        <is>
          <t>Schedule name</t>
        </is>
      </c>
      <c r="B22" s="7" t="inlineStr">
        <is>
          <t>Supply Air Terminal Schedule</t>
        </is>
      </c>
    </row>
    <row r="24">
      <c r="A24" s="6" t="inlineStr">
        <is>
          <t>Delref Classification</t>
        </is>
      </c>
      <c r="B24" s="9" t="inlineStr">
        <is>
          <t>G00300</t>
        </is>
      </c>
    </row>
    <row r="25">
      <c r="A25" s="6" t="inlineStr">
        <is>
          <t>BSUID</t>
        </is>
      </c>
      <c r="B25" s="9" t="inlineStr"/>
    </row>
    <row r="26">
      <c r="A26" s="6" t="inlineStr">
        <is>
          <t>Trigger Events</t>
        </is>
      </c>
      <c r="B26" s="9" t="inlineStr"/>
    </row>
    <row r="28">
      <c r="A28" s="10" t="inlineStr">
        <is>
          <t>Rows 10 to 22 derive from the last completed row of the revision log below. Do not type into them.</t>
        </is>
      </c>
    </row>
    <row r="41">
      <c r="A41" s="11" t="inlineStr">
        <is>
          <t>Revision</t>
        </is>
      </c>
      <c r="B41" s="11" t="inlineStr">
        <is>
          <t>Status</t>
        </is>
      </c>
      <c r="C41" s="11" t="inlineStr">
        <is>
          <t>Date</t>
        </is>
      </c>
      <c r="D41" s="11" t="inlineStr">
        <is>
          <t>Prepared by</t>
        </is>
      </c>
      <c r="E41" s="11" t="inlineStr">
        <is>
          <t>Checked by</t>
        </is>
      </c>
      <c r="F41" s="11" t="inlineStr">
        <is>
          <t>Approved by</t>
        </is>
      </c>
      <c r="G41" s="11" t="inlineStr">
        <is>
          <t>Description</t>
        </is>
      </c>
    </row>
    <row r="42">
      <c r="A42" s="12" t="inlineStr">
        <is>
          <t>P01</t>
        </is>
      </c>
      <c r="B42" s="12" t="inlineStr">
        <is>
          <t>S2 - Suitable for Information</t>
        </is>
      </c>
      <c r="C42" s="13" t="n">
        <v>46259</v>
      </c>
      <c r="D42" s="12" t="inlineStr">
        <is>
          <t>AG</t>
        </is>
      </c>
      <c r="E42" s="12" t="inlineStr">
        <is>
          <t>LJ</t>
        </is>
      </c>
      <c r="F42" s="12" t="inlineStr">
        <is>
          <t>RS</t>
        </is>
      </c>
      <c r="G42" s="12" t="inlineStr">
        <is>
          <t>First issue</t>
        </is>
      </c>
    </row>
    <row r="43">
      <c r="A43" s="12" t="n"/>
      <c r="B43" s="12" t="n"/>
      <c r="C43" s="13" t="n"/>
      <c r="D43" s="12" t="n"/>
      <c r="E43" s="12" t="n"/>
      <c r="F43" s="12" t="n"/>
      <c r="G43" s="12" t="n"/>
    </row>
    <row r="44">
      <c r="A44" s="12" t="n"/>
      <c r="B44" s="12" t="n"/>
      <c r="C44" s="13" t="n"/>
      <c r="D44" s="12" t="n"/>
      <c r="E44" s="12" t="n"/>
      <c r="F44" s="12" t="n"/>
      <c r="G44" s="12" t="n"/>
    </row>
    <row r="45">
      <c r="A45" s="12" t="n"/>
      <c r="B45" s="12" t="n"/>
      <c r="C45" s="13" t="n"/>
      <c r="D45" s="12" t="n"/>
      <c r="E45" s="12" t="n"/>
      <c r="F45" s="12" t="n"/>
      <c r="G45" s="12" t="n"/>
    </row>
    <row r="46">
      <c r="A46" s="12" t="n"/>
      <c r="B46" s="12" t="n"/>
      <c r="C46" s="13" t="n"/>
      <c r="D46" s="12" t="n"/>
      <c r="E46" s="12" t="n"/>
      <c r="F46" s="12" t="n"/>
      <c r="G46" s="12" t="n"/>
    </row>
    <row r="47">
      <c r="A47" s="12" t="n"/>
      <c r="B47" s="12" t="n"/>
      <c r="C47" s="13" t="n"/>
      <c r="D47" s="12" t="n"/>
      <c r="E47" s="12" t="n"/>
      <c r="F47" s="12" t="n"/>
      <c r="G47" s="12" t="n"/>
    </row>
    <row r="48">
      <c r="A48" s="12" t="n"/>
      <c r="B48" s="12" t="n"/>
      <c r="C48" s="13" t="n"/>
      <c r="D48" s="12" t="n"/>
      <c r="E48" s="12" t="n"/>
      <c r="F48" s="12" t="n"/>
      <c r="G48" s="12" t="n"/>
    </row>
    <row r="49">
      <c r="A49" s="12" t="n"/>
      <c r="B49" s="12" t="n"/>
      <c r="C49" s="13" t="n"/>
      <c r="D49" s="12" t="n"/>
      <c r="E49" s="12" t="n"/>
      <c r="F49" s="12" t="n"/>
      <c r="G49" s="12" t="n"/>
    </row>
    <row r="50">
      <c r="A50" s="12" t="n"/>
      <c r="B50" s="12" t="n"/>
      <c r="C50" s="13" t="n"/>
      <c r="D50" s="12" t="n"/>
      <c r="E50" s="12" t="n"/>
      <c r="F50" s="12" t="n"/>
      <c r="G50" s="12" t="n"/>
    </row>
    <row r="51">
      <c r="A51" s="12" t="n"/>
      <c r="B51" s="12" t="n"/>
      <c r="C51" s="13" t="n"/>
      <c r="D51" s="12" t="n"/>
      <c r="E51" s="12" t="n"/>
      <c r="F51" s="12" t="n"/>
      <c r="G51" s="12" t="n"/>
    </row>
    <row r="52">
      <c r="A52" s="12" t="n"/>
      <c r="B52" s="12" t="n"/>
      <c r="C52" s="13" t="n"/>
      <c r="D52" s="12" t="n"/>
      <c r="E52" s="12" t="n"/>
      <c r="F52" s="12" t="n"/>
      <c r="G52" s="12" t="n"/>
    </row>
    <row r="53">
      <c r="A53" s="12" t="n"/>
      <c r="B53" s="12" t="n"/>
      <c r="C53" s="13" t="n"/>
      <c r="D53" s="12" t="n"/>
      <c r="E53" s="12" t="n"/>
      <c r="F53" s="12" t="n"/>
      <c r="G53" s="12" t="n"/>
    </row>
    <row r="54">
      <c r="A54" s="12" t="n"/>
      <c r="B54" s="12" t="n"/>
      <c r="C54" s="13" t="n"/>
      <c r="D54" s="12" t="n"/>
      <c r="E54" s="12" t="n"/>
      <c r="F54" s="12" t="n"/>
      <c r="G54" s="12" t="n"/>
    </row>
    <row r="55">
      <c r="A55" s="12" t="n"/>
      <c r="B55" s="12" t="n"/>
      <c r="C55" s="13" t="n"/>
      <c r="D55" s="12" t="n"/>
      <c r="E55" s="12" t="n"/>
      <c r="F55" s="12" t="n"/>
      <c r="G55" s="12" t="n"/>
    </row>
    <row r="56">
      <c r="A56" s="12" t="n"/>
      <c r="B56" s="12" t="n"/>
      <c r="C56" s="13" t="n"/>
      <c r="D56" s="12" t="n"/>
      <c r="E56" s="12" t="n"/>
      <c r="F56" s="12" t="n"/>
      <c r="G56" s="12" t="n"/>
    </row>
    <row r="57">
      <c r="A57" s="12" t="n"/>
      <c r="B57" s="12" t="n"/>
      <c r="C57" s="13" t="n"/>
      <c r="D57" s="12" t="n"/>
      <c r="E57" s="12" t="n"/>
      <c r="F57" s="12" t="n"/>
      <c r="G57" s="12" t="n"/>
    </row>
    <row r="58">
      <c r="A58" s="12" t="n"/>
      <c r="B58" s="12" t="n"/>
      <c r="C58" s="13" t="n"/>
      <c r="D58" s="12" t="n"/>
      <c r="E58" s="12" t="n"/>
      <c r="F58" s="12" t="n"/>
      <c r="G58" s="12" t="n"/>
    </row>
    <row r="59">
      <c r="A59" s="12" t="n"/>
      <c r="B59" s="12" t="n"/>
      <c r="C59" s="13" t="n"/>
      <c r="D59" s="12" t="n"/>
      <c r="E59" s="12" t="n"/>
      <c r="F59" s="12" t="n"/>
      <c r="G59" s="12" t="n"/>
    </row>
    <row r="60">
      <c r="A60" s="12" t="n"/>
      <c r="B60" s="12" t="n"/>
      <c r="C60" s="13" t="n"/>
      <c r="D60" s="12" t="n"/>
      <c r="E60" s="12" t="n"/>
      <c r="F60" s="12" t="n"/>
      <c r="G60" s="12" t="n"/>
    </row>
    <row r="61">
      <c r="A61" s="12" t="n"/>
      <c r="B61" s="12" t="n"/>
      <c r="C61" s="13" t="n"/>
      <c r="D61" s="12" t="n"/>
      <c r="E61" s="12" t="n"/>
      <c r="F61" s="12" t="n"/>
      <c r="G61" s="12" t="n"/>
    </row>
  </sheetData>
  <mergeCells count="2">
    <mergeCell ref="A3:G3"/>
    <mergeCell ref="A4:G4"/>
  </mergeCells>
  <dataValidations count="2">
    <dataValidation sqref="B42:B61" showDropDown="0" showInputMessage="0" showErrorMessage="0" allowBlank="1" type="list">
      <formula1>=Lists!$A$2:$A$9</formula1>
    </dataValidation>
    <dataValidation sqref="A42:A61" showDropDown="0" showInputMessage="0" showErrorMessage="0" allowBlank="1" type="list">
      <formula1>=Lists!$C$2:$C$31</formula1>
    </dataValidation>
  </dataValidations>
  <pageMargins left="0.75" right="0.75" top="1" bottom="1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U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.2" customWidth="1" min="1" max="1"/>
    <col width="16" customWidth="1" min="2" max="2"/>
    <col width="17.6" customWidth="1" min="3" max="3"/>
    <col width="8" customWidth="1" min="4" max="4"/>
    <col width="11.2" customWidth="1" min="5" max="5"/>
    <col width="9.600000000000001" customWidth="1" min="6" max="6"/>
    <col width="9.600000000000001" customWidth="1" min="7" max="7"/>
    <col width="9.600000000000001" customWidth="1" min="8" max="8"/>
    <col width="20" customWidth="1" min="9" max="9"/>
    <col width="14.4" customWidth="1" min="10" max="10"/>
    <col width="12.8" customWidth="1" min="11" max="11"/>
    <col width="10.4" customWidth="1" min="12" max="12"/>
    <col width="10.4" customWidth="1" min="13" max="13"/>
    <col width="9.600000000000001" customWidth="1" min="14" max="14"/>
    <col width="9.600000000000001" customWidth="1" min="15" max="15"/>
    <col width="11.2" customWidth="1" min="16" max="16"/>
    <col width="11.2" customWidth="1" min="17" max="17"/>
    <col width="12.8" customWidth="1" min="18" max="18"/>
    <col width="10.4" customWidth="1" min="19" max="19"/>
    <col width="10.4" customWidth="1" min="20" max="20"/>
    <col width="10.4" customWidth="1" min="21" max="21"/>
  </cols>
  <sheetData>
    <row r="1">
      <c r="A1" s="14" t="inlineStr">
        <is>
          <t>Supply Air Terminal Schedule</t>
        </is>
      </c>
    </row>
    <row r="2" ht="46" customHeight="1">
      <c r="A2" s="15" t="inlineStr">
        <is>
          <t>General Notes:
[1] This equipment schedule must be read in conjunction and in compliance with the associated drawings, specification and design risk assessment.
[2] All equipment is scheduled on a performance basis. The contractor is responsible for confirming final selections with the manufacturer and for verifying that the selected equipment meets the scheduled duties.
[3] Dimensions and weights are indicative and must be confirmed against manufacturer certified drawings prior to builderswork and structural sign-off.
[4] Where a duty or dimension is amended, the contractor shall notify the designer before ordering.
[5] Calculated columns are derived from the entered design data and the project design constants. Do not overwrite them.</t>
        </is>
      </c>
    </row>
    <row r="3" ht="46" customHeight="1"/>
    <row r="4" ht="46" customHeight="1">
      <c r="A4" s="16" t="inlineStr">
        <is>
          <t>Reference</t>
        </is>
      </c>
      <c r="B4" s="16" t="inlineStr">
        <is>
          <t>Location</t>
        </is>
      </c>
      <c r="C4" s="16" t="inlineStr">
        <is>
          <t>Room Served</t>
        </is>
      </c>
      <c r="D4" s="16" t="inlineStr">
        <is>
          <t>Quantity</t>
        </is>
      </c>
      <c r="E4" s="16" t="inlineStr">
        <is>
          <t>Airflow per Terminal</t>
        </is>
      </c>
      <c r="F4" s="16" t="inlineStr">
        <is>
          <t>Mounting Height</t>
        </is>
      </c>
      <c r="G4" s="16" t="inlineStr">
        <is>
          <t>Pressure Drop</t>
        </is>
      </c>
      <c r="H4" s="16" t="inlineStr">
        <is>
          <t>Noise Level</t>
        </is>
      </c>
      <c r="I4" s="16" t="inlineStr">
        <is>
          <t>Model Reference</t>
        </is>
      </c>
      <c r="J4" s="17" t="inlineStr">
        <is>
          <t>Manufacturer</t>
        </is>
      </c>
      <c r="K4" s="17" t="inlineStr">
        <is>
          <t>Terminal Type</t>
        </is>
      </c>
      <c r="L4" s="17" t="inlineStr">
        <is>
          <t>Face Size</t>
        </is>
      </c>
      <c r="M4" s="17" t="inlineStr">
        <is>
          <t>Neck Size</t>
        </is>
      </c>
      <c r="N4" s="17" t="inlineStr">
        <is>
          <t>Free Area</t>
        </is>
      </c>
      <c r="O4" s="17" t="inlineStr">
        <is>
          <t>Neck Area</t>
        </is>
      </c>
      <c r="P4" s="17" t="inlineStr">
        <is>
          <t>Discharge Pattern</t>
        </is>
      </c>
      <c r="Q4" s="17" t="inlineStr">
        <is>
          <t>Damper Type</t>
        </is>
      </c>
      <c r="R4" s="17" t="inlineStr">
        <is>
          <t>Material / Finish</t>
        </is>
      </c>
      <c r="S4" s="18" t="inlineStr">
        <is>
          <t>Total Airflow</t>
        </is>
      </c>
      <c r="T4" s="18" t="inlineStr">
        <is>
          <t>Face Velocity</t>
        </is>
      </c>
      <c r="U4" s="18" t="inlineStr">
        <is>
          <t>Neck Velocity</t>
        </is>
      </c>
    </row>
    <row r="5">
      <c r="A5" s="19" t="inlineStr"/>
      <c r="B5" s="19" t="inlineStr"/>
      <c r="C5" s="19" t="inlineStr"/>
      <c r="D5" s="19" t="inlineStr"/>
      <c r="E5" s="19" t="inlineStr">
        <is>
          <t>l/s</t>
        </is>
      </c>
      <c r="F5" s="19" t="inlineStr">
        <is>
          <t>m</t>
        </is>
      </c>
      <c r="G5" s="19" t="inlineStr">
        <is>
          <t>Pa</t>
        </is>
      </c>
      <c r="H5" s="19" t="inlineStr">
        <is>
          <t>NR</t>
        </is>
      </c>
      <c r="I5" s="19" t="inlineStr"/>
      <c r="J5" s="20" t="inlineStr"/>
      <c r="K5" s="20" t="inlineStr"/>
      <c r="L5" s="20" t="inlineStr">
        <is>
          <t>mm</t>
        </is>
      </c>
      <c r="M5" s="20" t="inlineStr">
        <is>
          <t>mm</t>
        </is>
      </c>
      <c r="N5" s="20" t="inlineStr">
        <is>
          <t>m²</t>
        </is>
      </c>
      <c r="O5" s="20" t="inlineStr">
        <is>
          <t>m²</t>
        </is>
      </c>
      <c r="P5" s="20" t="inlineStr"/>
      <c r="Q5" s="20" t="inlineStr"/>
      <c r="R5" s="20" t="inlineStr"/>
      <c r="S5" s="21" t="inlineStr">
        <is>
          <t>l/s</t>
        </is>
      </c>
      <c r="T5" s="21" t="inlineStr">
        <is>
          <t>m/s</t>
        </is>
      </c>
      <c r="U5" s="21" t="inlineStr">
        <is>
          <t>m/s</t>
        </is>
      </c>
    </row>
    <row r="6">
      <c r="A6" s="22" t="inlineStr">
        <is>
          <t>SD-2-01</t>
        </is>
      </c>
      <c r="B6" s="22" t="inlineStr">
        <is>
          <t>Level 02</t>
        </is>
      </c>
      <c r="C6" s="22" t="inlineStr">
        <is>
          <t>Open Plan Office</t>
        </is>
      </c>
      <c r="D6" s="22" t="n">
        <v>6</v>
      </c>
      <c r="E6" s="22" t="n">
        <v>75</v>
      </c>
      <c r="F6" s="22" t="n">
        <v>2.7</v>
      </c>
      <c r="G6" s="22" t="n">
        <v>18</v>
      </c>
      <c r="H6" s="22" t="n">
        <v>30</v>
      </c>
      <c r="I6" s="22" t="inlineStr">
        <is>
          <t>SUPGRILLE-EXAMPLE-01</t>
        </is>
      </c>
      <c r="J6" s="23">
        <f>IF($I6="","",IFERROR(INDEX(Library!$B$3:$B$2000,MATCH($I6,Library!$A$3:$A$2000,0)),"NOT FOUND"))</f>
        <v/>
      </c>
      <c r="K6" s="23">
        <f>IF($I6="","",IFERROR(INDEX(Library!$C$3:$C$2000,MATCH($I6,Library!$A$3:$A$2000,0)),"NOT FOUND"))</f>
        <v/>
      </c>
      <c r="L6" s="23">
        <f>IF($I6="","",IFERROR(INDEX(Library!$D$3:$D$2000,MATCH($I6,Library!$A$3:$A$2000,0)),"NOT FOUND"))</f>
        <v/>
      </c>
      <c r="M6" s="23">
        <f>IF($I6="","",IFERROR(INDEX(Library!$E$3:$E$2000,MATCH($I6,Library!$A$3:$A$2000,0)),"NOT FOUND"))</f>
        <v/>
      </c>
      <c r="N6" s="23">
        <f>IF($I6="","",IFERROR(INDEX(Library!$F$3:$F$2000,MATCH($I6,Library!$A$3:$A$2000,0)),"NOT FOUND"))</f>
        <v/>
      </c>
      <c r="O6" s="23">
        <f>IF($I6="","",IFERROR(INDEX(Library!$G$3:$G$2000,MATCH($I6,Library!$A$3:$A$2000,0)),"NOT FOUND"))</f>
        <v/>
      </c>
      <c r="P6" s="23">
        <f>IF($I6="","",IFERROR(INDEX(Library!$H$3:$H$2000,MATCH($I6,Library!$A$3:$A$2000,0)),"NOT FOUND"))</f>
        <v/>
      </c>
      <c r="Q6" s="23">
        <f>IF($I6="","",IFERROR(INDEX(Library!$I$3:$I$2000,MATCH($I6,Library!$A$3:$A$2000,0)),"NOT FOUND"))</f>
        <v/>
      </c>
      <c r="R6" s="23">
        <f>IF($I6="","",IFERROR(INDEX(Library!$J$3:$J$2000,MATCH($I6,Library!$A$3:$A$2000,0)),"NOT FOUND"))</f>
        <v/>
      </c>
      <c r="S6" s="24">
        <f>IF($A6="","",IFERROR($D6*$E6,""))</f>
        <v/>
      </c>
      <c r="T6" s="24">
        <f>IF($A6="","",IFERROR($E6/1000/$N6,""))</f>
        <v/>
      </c>
      <c r="U6" s="24">
        <f>IF($A6="","",IFERROR($E6/1000/$O6,""))</f>
        <v/>
      </c>
    </row>
    <row r="7">
      <c r="A7" s="22" t="n"/>
      <c r="B7" s="22" t="n"/>
      <c r="C7" s="22" t="n"/>
      <c r="D7" s="22" t="n"/>
      <c r="E7" s="22" t="n"/>
      <c r="F7" s="22" t="n"/>
      <c r="G7" s="22" t="n"/>
      <c r="H7" s="22" t="n"/>
      <c r="I7" s="22" t="n"/>
      <c r="J7" s="23">
        <f>IF($I7="","",IFERROR(INDEX(Library!$B$3:$B$2000,MATCH($I7,Library!$A$3:$A$2000,0)),"NOT FOUND"))</f>
        <v/>
      </c>
      <c r="K7" s="23">
        <f>IF($I7="","",IFERROR(INDEX(Library!$C$3:$C$2000,MATCH($I7,Library!$A$3:$A$2000,0)),"NOT FOUND"))</f>
        <v/>
      </c>
      <c r="L7" s="23">
        <f>IF($I7="","",IFERROR(INDEX(Library!$D$3:$D$2000,MATCH($I7,Library!$A$3:$A$2000,0)),"NOT FOUND"))</f>
        <v/>
      </c>
      <c r="M7" s="23">
        <f>IF($I7="","",IFERROR(INDEX(Library!$E$3:$E$2000,MATCH($I7,Library!$A$3:$A$2000,0)),"NOT FOUND"))</f>
        <v/>
      </c>
      <c r="N7" s="23">
        <f>IF($I7="","",IFERROR(INDEX(Library!$F$3:$F$2000,MATCH($I7,Library!$A$3:$A$2000,0)),"NOT FOUND"))</f>
        <v/>
      </c>
      <c r="O7" s="23">
        <f>IF($I7="","",IFERROR(INDEX(Library!$G$3:$G$2000,MATCH($I7,Library!$A$3:$A$2000,0)),"NOT FOUND"))</f>
        <v/>
      </c>
      <c r="P7" s="23">
        <f>IF($I7="","",IFERROR(INDEX(Library!$H$3:$H$2000,MATCH($I7,Library!$A$3:$A$2000,0)),"NOT FOUND"))</f>
        <v/>
      </c>
      <c r="Q7" s="23">
        <f>IF($I7="","",IFERROR(INDEX(Library!$I$3:$I$2000,MATCH($I7,Library!$A$3:$A$2000,0)),"NOT FOUND"))</f>
        <v/>
      </c>
      <c r="R7" s="23">
        <f>IF($I7="","",IFERROR(INDEX(Library!$J$3:$J$2000,MATCH($I7,Library!$A$3:$A$2000,0)),"NOT FOUND"))</f>
        <v/>
      </c>
      <c r="S7" s="24">
        <f>IF($A7="","",IFERROR($D7*$E7,""))</f>
        <v/>
      </c>
      <c r="T7" s="24">
        <f>IF($A7="","",IFERROR($E7/1000/$N7,""))</f>
        <v/>
      </c>
      <c r="U7" s="24">
        <f>IF($A7="","",IFERROR($E7/1000/$O7,""))</f>
        <v/>
      </c>
    </row>
    <row r="8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3">
        <f>IF($I8="","",IFERROR(INDEX(Library!$B$3:$B$2000,MATCH($I8,Library!$A$3:$A$2000,0)),"NOT FOUND"))</f>
        <v/>
      </c>
      <c r="K8" s="23">
        <f>IF($I8="","",IFERROR(INDEX(Library!$C$3:$C$2000,MATCH($I8,Library!$A$3:$A$2000,0)),"NOT FOUND"))</f>
        <v/>
      </c>
      <c r="L8" s="23">
        <f>IF($I8="","",IFERROR(INDEX(Library!$D$3:$D$2000,MATCH($I8,Library!$A$3:$A$2000,0)),"NOT FOUND"))</f>
        <v/>
      </c>
      <c r="M8" s="23">
        <f>IF($I8="","",IFERROR(INDEX(Library!$E$3:$E$2000,MATCH($I8,Library!$A$3:$A$2000,0)),"NOT FOUND"))</f>
        <v/>
      </c>
      <c r="N8" s="23">
        <f>IF($I8="","",IFERROR(INDEX(Library!$F$3:$F$2000,MATCH($I8,Library!$A$3:$A$2000,0)),"NOT FOUND"))</f>
        <v/>
      </c>
      <c r="O8" s="23">
        <f>IF($I8="","",IFERROR(INDEX(Library!$G$3:$G$2000,MATCH($I8,Library!$A$3:$A$2000,0)),"NOT FOUND"))</f>
        <v/>
      </c>
      <c r="P8" s="23">
        <f>IF($I8="","",IFERROR(INDEX(Library!$H$3:$H$2000,MATCH($I8,Library!$A$3:$A$2000,0)),"NOT FOUND"))</f>
        <v/>
      </c>
      <c r="Q8" s="23">
        <f>IF($I8="","",IFERROR(INDEX(Library!$I$3:$I$2000,MATCH($I8,Library!$A$3:$A$2000,0)),"NOT FOUND"))</f>
        <v/>
      </c>
      <c r="R8" s="23">
        <f>IF($I8="","",IFERROR(INDEX(Library!$J$3:$J$2000,MATCH($I8,Library!$A$3:$A$2000,0)),"NOT FOUND"))</f>
        <v/>
      </c>
      <c r="S8" s="24">
        <f>IF($A8="","",IFERROR($D8*$E8,""))</f>
        <v/>
      </c>
      <c r="T8" s="24">
        <f>IF($A8="","",IFERROR($E8/1000/$N8,""))</f>
        <v/>
      </c>
      <c r="U8" s="24">
        <f>IF($A8="","",IFERROR($E8/1000/$O8,""))</f>
        <v/>
      </c>
    </row>
    <row r="9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3">
        <f>IF($I9="","",IFERROR(INDEX(Library!$B$3:$B$2000,MATCH($I9,Library!$A$3:$A$2000,0)),"NOT FOUND"))</f>
        <v/>
      </c>
      <c r="K9" s="23">
        <f>IF($I9="","",IFERROR(INDEX(Library!$C$3:$C$2000,MATCH($I9,Library!$A$3:$A$2000,0)),"NOT FOUND"))</f>
        <v/>
      </c>
      <c r="L9" s="23">
        <f>IF($I9="","",IFERROR(INDEX(Library!$D$3:$D$2000,MATCH($I9,Library!$A$3:$A$2000,0)),"NOT FOUND"))</f>
        <v/>
      </c>
      <c r="M9" s="23">
        <f>IF($I9="","",IFERROR(INDEX(Library!$E$3:$E$2000,MATCH($I9,Library!$A$3:$A$2000,0)),"NOT FOUND"))</f>
        <v/>
      </c>
      <c r="N9" s="23">
        <f>IF($I9="","",IFERROR(INDEX(Library!$F$3:$F$2000,MATCH($I9,Library!$A$3:$A$2000,0)),"NOT FOUND"))</f>
        <v/>
      </c>
      <c r="O9" s="23">
        <f>IF($I9="","",IFERROR(INDEX(Library!$G$3:$G$2000,MATCH($I9,Library!$A$3:$A$2000,0)),"NOT FOUND"))</f>
        <v/>
      </c>
      <c r="P9" s="23">
        <f>IF($I9="","",IFERROR(INDEX(Library!$H$3:$H$2000,MATCH($I9,Library!$A$3:$A$2000,0)),"NOT FOUND"))</f>
        <v/>
      </c>
      <c r="Q9" s="23">
        <f>IF($I9="","",IFERROR(INDEX(Library!$I$3:$I$2000,MATCH($I9,Library!$A$3:$A$2000,0)),"NOT FOUND"))</f>
        <v/>
      </c>
      <c r="R9" s="23">
        <f>IF($I9="","",IFERROR(INDEX(Library!$J$3:$J$2000,MATCH($I9,Library!$A$3:$A$2000,0)),"NOT FOUND"))</f>
        <v/>
      </c>
      <c r="S9" s="24">
        <f>IF($A9="","",IFERROR($D9*$E9,""))</f>
        <v/>
      </c>
      <c r="T9" s="24">
        <f>IF($A9="","",IFERROR($E9/1000/$N9,""))</f>
        <v/>
      </c>
      <c r="U9" s="24">
        <f>IF($A9="","",IFERROR($E9/1000/$O9,""))</f>
        <v/>
      </c>
    </row>
    <row r="10">
      <c r="A10" s="22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3">
        <f>IF($I10="","",IFERROR(INDEX(Library!$B$3:$B$2000,MATCH($I10,Library!$A$3:$A$2000,0)),"NOT FOUND"))</f>
        <v/>
      </c>
      <c r="K10" s="23">
        <f>IF($I10="","",IFERROR(INDEX(Library!$C$3:$C$2000,MATCH($I10,Library!$A$3:$A$2000,0)),"NOT FOUND"))</f>
        <v/>
      </c>
      <c r="L10" s="23">
        <f>IF($I10="","",IFERROR(INDEX(Library!$D$3:$D$2000,MATCH($I10,Library!$A$3:$A$2000,0)),"NOT FOUND"))</f>
        <v/>
      </c>
      <c r="M10" s="23">
        <f>IF($I10="","",IFERROR(INDEX(Library!$E$3:$E$2000,MATCH($I10,Library!$A$3:$A$2000,0)),"NOT FOUND"))</f>
        <v/>
      </c>
      <c r="N10" s="23">
        <f>IF($I10="","",IFERROR(INDEX(Library!$F$3:$F$2000,MATCH($I10,Library!$A$3:$A$2000,0)),"NOT FOUND"))</f>
        <v/>
      </c>
      <c r="O10" s="23">
        <f>IF($I10="","",IFERROR(INDEX(Library!$G$3:$G$2000,MATCH($I10,Library!$A$3:$A$2000,0)),"NOT FOUND"))</f>
        <v/>
      </c>
      <c r="P10" s="23">
        <f>IF($I10="","",IFERROR(INDEX(Library!$H$3:$H$2000,MATCH($I10,Library!$A$3:$A$2000,0)),"NOT FOUND"))</f>
        <v/>
      </c>
      <c r="Q10" s="23">
        <f>IF($I10="","",IFERROR(INDEX(Library!$I$3:$I$2000,MATCH($I10,Library!$A$3:$A$2000,0)),"NOT FOUND"))</f>
        <v/>
      </c>
      <c r="R10" s="23">
        <f>IF($I10="","",IFERROR(INDEX(Library!$J$3:$J$2000,MATCH($I10,Library!$A$3:$A$2000,0)),"NOT FOUND"))</f>
        <v/>
      </c>
      <c r="S10" s="24">
        <f>IF($A10="","",IFERROR($D10*$E10,""))</f>
        <v/>
      </c>
      <c r="T10" s="24">
        <f>IF($A10="","",IFERROR($E10/1000/$N10,""))</f>
        <v/>
      </c>
      <c r="U10" s="24">
        <f>IF($A10="","",IFERROR($E10/1000/$O10,""))</f>
        <v/>
      </c>
    </row>
    <row r="11">
      <c r="A11" s="22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3">
        <f>IF($I11="","",IFERROR(INDEX(Library!$B$3:$B$2000,MATCH($I11,Library!$A$3:$A$2000,0)),"NOT FOUND"))</f>
        <v/>
      </c>
      <c r="K11" s="23">
        <f>IF($I11="","",IFERROR(INDEX(Library!$C$3:$C$2000,MATCH($I11,Library!$A$3:$A$2000,0)),"NOT FOUND"))</f>
        <v/>
      </c>
      <c r="L11" s="23">
        <f>IF($I11="","",IFERROR(INDEX(Library!$D$3:$D$2000,MATCH($I11,Library!$A$3:$A$2000,0)),"NOT FOUND"))</f>
        <v/>
      </c>
      <c r="M11" s="23">
        <f>IF($I11="","",IFERROR(INDEX(Library!$E$3:$E$2000,MATCH($I11,Library!$A$3:$A$2000,0)),"NOT FOUND"))</f>
        <v/>
      </c>
      <c r="N11" s="23">
        <f>IF($I11="","",IFERROR(INDEX(Library!$F$3:$F$2000,MATCH($I11,Library!$A$3:$A$2000,0)),"NOT FOUND"))</f>
        <v/>
      </c>
      <c r="O11" s="23">
        <f>IF($I11="","",IFERROR(INDEX(Library!$G$3:$G$2000,MATCH($I11,Library!$A$3:$A$2000,0)),"NOT FOUND"))</f>
        <v/>
      </c>
      <c r="P11" s="23">
        <f>IF($I11="","",IFERROR(INDEX(Library!$H$3:$H$2000,MATCH($I11,Library!$A$3:$A$2000,0)),"NOT FOUND"))</f>
        <v/>
      </c>
      <c r="Q11" s="23">
        <f>IF($I11="","",IFERROR(INDEX(Library!$I$3:$I$2000,MATCH($I11,Library!$A$3:$A$2000,0)),"NOT FOUND"))</f>
        <v/>
      </c>
      <c r="R11" s="23">
        <f>IF($I11="","",IFERROR(INDEX(Library!$J$3:$J$2000,MATCH($I11,Library!$A$3:$A$2000,0)),"NOT FOUND"))</f>
        <v/>
      </c>
      <c r="S11" s="24">
        <f>IF($A11="","",IFERROR($D11*$E11,""))</f>
        <v/>
      </c>
      <c r="T11" s="24">
        <f>IF($A11="","",IFERROR($E11/1000/$N11,""))</f>
        <v/>
      </c>
      <c r="U11" s="24">
        <f>IF($A11="","",IFERROR($E11/1000/$O11,""))</f>
        <v/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3">
        <f>IF($I12="","",IFERROR(INDEX(Library!$B$3:$B$2000,MATCH($I12,Library!$A$3:$A$2000,0)),"NOT FOUND"))</f>
        <v/>
      </c>
      <c r="K12" s="23">
        <f>IF($I12="","",IFERROR(INDEX(Library!$C$3:$C$2000,MATCH($I12,Library!$A$3:$A$2000,0)),"NOT FOUND"))</f>
        <v/>
      </c>
      <c r="L12" s="23">
        <f>IF($I12="","",IFERROR(INDEX(Library!$D$3:$D$2000,MATCH($I12,Library!$A$3:$A$2000,0)),"NOT FOUND"))</f>
        <v/>
      </c>
      <c r="M12" s="23">
        <f>IF($I12="","",IFERROR(INDEX(Library!$E$3:$E$2000,MATCH($I12,Library!$A$3:$A$2000,0)),"NOT FOUND"))</f>
        <v/>
      </c>
      <c r="N12" s="23">
        <f>IF($I12="","",IFERROR(INDEX(Library!$F$3:$F$2000,MATCH($I12,Library!$A$3:$A$2000,0)),"NOT FOUND"))</f>
        <v/>
      </c>
      <c r="O12" s="23">
        <f>IF($I12="","",IFERROR(INDEX(Library!$G$3:$G$2000,MATCH($I12,Library!$A$3:$A$2000,0)),"NOT FOUND"))</f>
        <v/>
      </c>
      <c r="P12" s="23">
        <f>IF($I12="","",IFERROR(INDEX(Library!$H$3:$H$2000,MATCH($I12,Library!$A$3:$A$2000,0)),"NOT FOUND"))</f>
        <v/>
      </c>
      <c r="Q12" s="23">
        <f>IF($I12="","",IFERROR(INDEX(Library!$I$3:$I$2000,MATCH($I12,Library!$A$3:$A$2000,0)),"NOT FOUND"))</f>
        <v/>
      </c>
      <c r="R12" s="23">
        <f>IF($I12="","",IFERROR(INDEX(Library!$J$3:$J$2000,MATCH($I12,Library!$A$3:$A$2000,0)),"NOT FOUND"))</f>
        <v/>
      </c>
      <c r="S12" s="24">
        <f>IF($A12="","",IFERROR($D12*$E12,""))</f>
        <v/>
      </c>
      <c r="T12" s="24">
        <f>IF($A12="","",IFERROR($E12/1000/$N12,""))</f>
        <v/>
      </c>
      <c r="U12" s="24">
        <f>IF($A12="","",IFERROR($E12/1000/$O12,""))</f>
        <v/>
      </c>
    </row>
    <row r="13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3">
        <f>IF($I13="","",IFERROR(INDEX(Library!$B$3:$B$2000,MATCH($I13,Library!$A$3:$A$2000,0)),"NOT FOUND"))</f>
        <v/>
      </c>
      <c r="K13" s="23">
        <f>IF($I13="","",IFERROR(INDEX(Library!$C$3:$C$2000,MATCH($I13,Library!$A$3:$A$2000,0)),"NOT FOUND"))</f>
        <v/>
      </c>
      <c r="L13" s="23">
        <f>IF($I13="","",IFERROR(INDEX(Library!$D$3:$D$2000,MATCH($I13,Library!$A$3:$A$2000,0)),"NOT FOUND"))</f>
        <v/>
      </c>
      <c r="M13" s="23">
        <f>IF($I13="","",IFERROR(INDEX(Library!$E$3:$E$2000,MATCH($I13,Library!$A$3:$A$2000,0)),"NOT FOUND"))</f>
        <v/>
      </c>
      <c r="N13" s="23">
        <f>IF($I13="","",IFERROR(INDEX(Library!$F$3:$F$2000,MATCH($I13,Library!$A$3:$A$2000,0)),"NOT FOUND"))</f>
        <v/>
      </c>
      <c r="O13" s="23">
        <f>IF($I13="","",IFERROR(INDEX(Library!$G$3:$G$2000,MATCH($I13,Library!$A$3:$A$2000,0)),"NOT FOUND"))</f>
        <v/>
      </c>
      <c r="P13" s="23">
        <f>IF($I13="","",IFERROR(INDEX(Library!$H$3:$H$2000,MATCH($I13,Library!$A$3:$A$2000,0)),"NOT FOUND"))</f>
        <v/>
      </c>
      <c r="Q13" s="23">
        <f>IF($I13="","",IFERROR(INDEX(Library!$I$3:$I$2000,MATCH($I13,Library!$A$3:$A$2000,0)),"NOT FOUND"))</f>
        <v/>
      </c>
      <c r="R13" s="23">
        <f>IF($I13="","",IFERROR(INDEX(Library!$J$3:$J$2000,MATCH($I13,Library!$A$3:$A$2000,0)),"NOT FOUND"))</f>
        <v/>
      </c>
      <c r="S13" s="24">
        <f>IF($A13="","",IFERROR($D13*$E13,""))</f>
        <v/>
      </c>
      <c r="T13" s="24">
        <f>IF($A13="","",IFERROR($E13/1000/$N13,""))</f>
        <v/>
      </c>
      <c r="U13" s="24">
        <f>IF($A13="","",IFERROR($E13/1000/$O13,""))</f>
        <v/>
      </c>
    </row>
    <row r="14">
      <c r="A14" s="22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3">
        <f>IF($I14="","",IFERROR(INDEX(Library!$B$3:$B$2000,MATCH($I14,Library!$A$3:$A$2000,0)),"NOT FOUND"))</f>
        <v/>
      </c>
      <c r="K14" s="23">
        <f>IF($I14="","",IFERROR(INDEX(Library!$C$3:$C$2000,MATCH($I14,Library!$A$3:$A$2000,0)),"NOT FOUND"))</f>
        <v/>
      </c>
      <c r="L14" s="23">
        <f>IF($I14="","",IFERROR(INDEX(Library!$D$3:$D$2000,MATCH($I14,Library!$A$3:$A$2000,0)),"NOT FOUND"))</f>
        <v/>
      </c>
      <c r="M14" s="23">
        <f>IF($I14="","",IFERROR(INDEX(Library!$E$3:$E$2000,MATCH($I14,Library!$A$3:$A$2000,0)),"NOT FOUND"))</f>
        <v/>
      </c>
      <c r="N14" s="23">
        <f>IF($I14="","",IFERROR(INDEX(Library!$F$3:$F$2000,MATCH($I14,Library!$A$3:$A$2000,0)),"NOT FOUND"))</f>
        <v/>
      </c>
      <c r="O14" s="23">
        <f>IF($I14="","",IFERROR(INDEX(Library!$G$3:$G$2000,MATCH($I14,Library!$A$3:$A$2000,0)),"NOT FOUND"))</f>
        <v/>
      </c>
      <c r="P14" s="23">
        <f>IF($I14="","",IFERROR(INDEX(Library!$H$3:$H$2000,MATCH($I14,Library!$A$3:$A$2000,0)),"NOT FOUND"))</f>
        <v/>
      </c>
      <c r="Q14" s="23">
        <f>IF($I14="","",IFERROR(INDEX(Library!$I$3:$I$2000,MATCH($I14,Library!$A$3:$A$2000,0)),"NOT FOUND"))</f>
        <v/>
      </c>
      <c r="R14" s="23">
        <f>IF($I14="","",IFERROR(INDEX(Library!$J$3:$J$2000,MATCH($I14,Library!$A$3:$A$2000,0)),"NOT FOUND"))</f>
        <v/>
      </c>
      <c r="S14" s="24">
        <f>IF($A14="","",IFERROR($D14*$E14,""))</f>
        <v/>
      </c>
      <c r="T14" s="24">
        <f>IF($A14="","",IFERROR($E14/1000/$N14,""))</f>
        <v/>
      </c>
      <c r="U14" s="24">
        <f>IF($A14="","",IFERROR($E14/1000/$O14,""))</f>
        <v/>
      </c>
    </row>
    <row r="15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3">
        <f>IF($I15="","",IFERROR(INDEX(Library!$B$3:$B$2000,MATCH($I15,Library!$A$3:$A$2000,0)),"NOT FOUND"))</f>
        <v/>
      </c>
      <c r="K15" s="23">
        <f>IF($I15="","",IFERROR(INDEX(Library!$C$3:$C$2000,MATCH($I15,Library!$A$3:$A$2000,0)),"NOT FOUND"))</f>
        <v/>
      </c>
      <c r="L15" s="23">
        <f>IF($I15="","",IFERROR(INDEX(Library!$D$3:$D$2000,MATCH($I15,Library!$A$3:$A$2000,0)),"NOT FOUND"))</f>
        <v/>
      </c>
      <c r="M15" s="23">
        <f>IF($I15="","",IFERROR(INDEX(Library!$E$3:$E$2000,MATCH($I15,Library!$A$3:$A$2000,0)),"NOT FOUND"))</f>
        <v/>
      </c>
      <c r="N15" s="23">
        <f>IF($I15="","",IFERROR(INDEX(Library!$F$3:$F$2000,MATCH($I15,Library!$A$3:$A$2000,0)),"NOT FOUND"))</f>
        <v/>
      </c>
      <c r="O15" s="23">
        <f>IF($I15="","",IFERROR(INDEX(Library!$G$3:$G$2000,MATCH($I15,Library!$A$3:$A$2000,0)),"NOT FOUND"))</f>
        <v/>
      </c>
      <c r="P15" s="23">
        <f>IF($I15="","",IFERROR(INDEX(Library!$H$3:$H$2000,MATCH($I15,Library!$A$3:$A$2000,0)),"NOT FOUND"))</f>
        <v/>
      </c>
      <c r="Q15" s="23">
        <f>IF($I15="","",IFERROR(INDEX(Library!$I$3:$I$2000,MATCH($I15,Library!$A$3:$A$2000,0)),"NOT FOUND"))</f>
        <v/>
      </c>
      <c r="R15" s="23">
        <f>IF($I15="","",IFERROR(INDEX(Library!$J$3:$J$2000,MATCH($I15,Library!$A$3:$A$2000,0)),"NOT FOUND"))</f>
        <v/>
      </c>
      <c r="S15" s="24">
        <f>IF($A15="","",IFERROR($D15*$E15,""))</f>
        <v/>
      </c>
      <c r="T15" s="24">
        <f>IF($A15="","",IFERROR($E15/1000/$N15,""))</f>
        <v/>
      </c>
      <c r="U15" s="24">
        <f>IF($A15="","",IFERROR($E15/1000/$O15,""))</f>
        <v/>
      </c>
    </row>
    <row r="16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3">
        <f>IF($I16="","",IFERROR(INDEX(Library!$B$3:$B$2000,MATCH($I16,Library!$A$3:$A$2000,0)),"NOT FOUND"))</f>
        <v/>
      </c>
      <c r="K16" s="23">
        <f>IF($I16="","",IFERROR(INDEX(Library!$C$3:$C$2000,MATCH($I16,Library!$A$3:$A$2000,0)),"NOT FOUND"))</f>
        <v/>
      </c>
      <c r="L16" s="23">
        <f>IF($I16="","",IFERROR(INDEX(Library!$D$3:$D$2000,MATCH($I16,Library!$A$3:$A$2000,0)),"NOT FOUND"))</f>
        <v/>
      </c>
      <c r="M16" s="23">
        <f>IF($I16="","",IFERROR(INDEX(Library!$E$3:$E$2000,MATCH($I16,Library!$A$3:$A$2000,0)),"NOT FOUND"))</f>
        <v/>
      </c>
      <c r="N16" s="23">
        <f>IF($I16="","",IFERROR(INDEX(Library!$F$3:$F$2000,MATCH($I16,Library!$A$3:$A$2000,0)),"NOT FOUND"))</f>
        <v/>
      </c>
      <c r="O16" s="23">
        <f>IF($I16="","",IFERROR(INDEX(Library!$G$3:$G$2000,MATCH($I16,Library!$A$3:$A$2000,0)),"NOT FOUND"))</f>
        <v/>
      </c>
      <c r="P16" s="23">
        <f>IF($I16="","",IFERROR(INDEX(Library!$H$3:$H$2000,MATCH($I16,Library!$A$3:$A$2000,0)),"NOT FOUND"))</f>
        <v/>
      </c>
      <c r="Q16" s="23">
        <f>IF($I16="","",IFERROR(INDEX(Library!$I$3:$I$2000,MATCH($I16,Library!$A$3:$A$2000,0)),"NOT FOUND"))</f>
        <v/>
      </c>
      <c r="R16" s="23">
        <f>IF($I16="","",IFERROR(INDEX(Library!$J$3:$J$2000,MATCH($I16,Library!$A$3:$A$2000,0)),"NOT FOUND"))</f>
        <v/>
      </c>
      <c r="S16" s="24">
        <f>IF($A16="","",IFERROR($D16*$E16,""))</f>
        <v/>
      </c>
      <c r="T16" s="24">
        <f>IF($A16="","",IFERROR($E16/1000/$N16,""))</f>
        <v/>
      </c>
      <c r="U16" s="24">
        <f>IF($A16="","",IFERROR($E16/1000/$O16,""))</f>
        <v/>
      </c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3">
        <f>IF($I17="","",IFERROR(INDEX(Library!$B$3:$B$2000,MATCH($I17,Library!$A$3:$A$2000,0)),"NOT FOUND"))</f>
        <v/>
      </c>
      <c r="K17" s="23">
        <f>IF($I17="","",IFERROR(INDEX(Library!$C$3:$C$2000,MATCH($I17,Library!$A$3:$A$2000,0)),"NOT FOUND"))</f>
        <v/>
      </c>
      <c r="L17" s="23">
        <f>IF($I17="","",IFERROR(INDEX(Library!$D$3:$D$2000,MATCH($I17,Library!$A$3:$A$2000,0)),"NOT FOUND"))</f>
        <v/>
      </c>
      <c r="M17" s="23">
        <f>IF($I17="","",IFERROR(INDEX(Library!$E$3:$E$2000,MATCH($I17,Library!$A$3:$A$2000,0)),"NOT FOUND"))</f>
        <v/>
      </c>
      <c r="N17" s="23">
        <f>IF($I17="","",IFERROR(INDEX(Library!$F$3:$F$2000,MATCH($I17,Library!$A$3:$A$2000,0)),"NOT FOUND"))</f>
        <v/>
      </c>
      <c r="O17" s="23">
        <f>IF($I17="","",IFERROR(INDEX(Library!$G$3:$G$2000,MATCH($I17,Library!$A$3:$A$2000,0)),"NOT FOUND"))</f>
        <v/>
      </c>
      <c r="P17" s="23">
        <f>IF($I17="","",IFERROR(INDEX(Library!$H$3:$H$2000,MATCH($I17,Library!$A$3:$A$2000,0)),"NOT FOUND"))</f>
        <v/>
      </c>
      <c r="Q17" s="23">
        <f>IF($I17="","",IFERROR(INDEX(Library!$I$3:$I$2000,MATCH($I17,Library!$A$3:$A$2000,0)),"NOT FOUND"))</f>
        <v/>
      </c>
      <c r="R17" s="23">
        <f>IF($I17="","",IFERROR(INDEX(Library!$J$3:$J$2000,MATCH($I17,Library!$A$3:$A$2000,0)),"NOT FOUND"))</f>
        <v/>
      </c>
      <c r="S17" s="24">
        <f>IF($A17="","",IFERROR($D17*$E17,""))</f>
        <v/>
      </c>
      <c r="T17" s="24">
        <f>IF($A17="","",IFERROR($E17/1000/$N17,""))</f>
        <v/>
      </c>
      <c r="U17" s="24">
        <f>IF($A17="","",IFERROR($E17/1000/$O17,""))</f>
        <v/>
      </c>
    </row>
    <row r="18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3">
        <f>IF($I18="","",IFERROR(INDEX(Library!$B$3:$B$2000,MATCH($I18,Library!$A$3:$A$2000,0)),"NOT FOUND"))</f>
        <v/>
      </c>
      <c r="K18" s="23">
        <f>IF($I18="","",IFERROR(INDEX(Library!$C$3:$C$2000,MATCH($I18,Library!$A$3:$A$2000,0)),"NOT FOUND"))</f>
        <v/>
      </c>
      <c r="L18" s="23">
        <f>IF($I18="","",IFERROR(INDEX(Library!$D$3:$D$2000,MATCH($I18,Library!$A$3:$A$2000,0)),"NOT FOUND"))</f>
        <v/>
      </c>
      <c r="M18" s="23">
        <f>IF($I18="","",IFERROR(INDEX(Library!$E$3:$E$2000,MATCH($I18,Library!$A$3:$A$2000,0)),"NOT FOUND"))</f>
        <v/>
      </c>
      <c r="N18" s="23">
        <f>IF($I18="","",IFERROR(INDEX(Library!$F$3:$F$2000,MATCH($I18,Library!$A$3:$A$2000,0)),"NOT FOUND"))</f>
        <v/>
      </c>
      <c r="O18" s="23">
        <f>IF($I18="","",IFERROR(INDEX(Library!$G$3:$G$2000,MATCH($I18,Library!$A$3:$A$2000,0)),"NOT FOUND"))</f>
        <v/>
      </c>
      <c r="P18" s="23">
        <f>IF($I18="","",IFERROR(INDEX(Library!$H$3:$H$2000,MATCH($I18,Library!$A$3:$A$2000,0)),"NOT FOUND"))</f>
        <v/>
      </c>
      <c r="Q18" s="23">
        <f>IF($I18="","",IFERROR(INDEX(Library!$I$3:$I$2000,MATCH($I18,Library!$A$3:$A$2000,0)),"NOT FOUND"))</f>
        <v/>
      </c>
      <c r="R18" s="23">
        <f>IF($I18="","",IFERROR(INDEX(Library!$J$3:$J$2000,MATCH($I18,Library!$A$3:$A$2000,0)),"NOT FOUND"))</f>
        <v/>
      </c>
      <c r="S18" s="24">
        <f>IF($A18="","",IFERROR($D18*$E18,""))</f>
        <v/>
      </c>
      <c r="T18" s="24">
        <f>IF($A18="","",IFERROR($E18/1000/$N18,""))</f>
        <v/>
      </c>
      <c r="U18" s="24">
        <f>IF($A18="","",IFERROR($E18/1000/$O18,""))</f>
        <v/>
      </c>
    </row>
    <row r="19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3">
        <f>IF($I19="","",IFERROR(INDEX(Library!$B$3:$B$2000,MATCH($I19,Library!$A$3:$A$2000,0)),"NOT FOUND"))</f>
        <v/>
      </c>
      <c r="K19" s="23">
        <f>IF($I19="","",IFERROR(INDEX(Library!$C$3:$C$2000,MATCH($I19,Library!$A$3:$A$2000,0)),"NOT FOUND"))</f>
        <v/>
      </c>
      <c r="L19" s="23">
        <f>IF($I19="","",IFERROR(INDEX(Library!$D$3:$D$2000,MATCH($I19,Library!$A$3:$A$2000,0)),"NOT FOUND"))</f>
        <v/>
      </c>
      <c r="M19" s="23">
        <f>IF($I19="","",IFERROR(INDEX(Library!$E$3:$E$2000,MATCH($I19,Library!$A$3:$A$2000,0)),"NOT FOUND"))</f>
        <v/>
      </c>
      <c r="N19" s="23">
        <f>IF($I19="","",IFERROR(INDEX(Library!$F$3:$F$2000,MATCH($I19,Library!$A$3:$A$2000,0)),"NOT FOUND"))</f>
        <v/>
      </c>
      <c r="O19" s="23">
        <f>IF($I19="","",IFERROR(INDEX(Library!$G$3:$G$2000,MATCH($I19,Library!$A$3:$A$2000,0)),"NOT FOUND"))</f>
        <v/>
      </c>
      <c r="P19" s="23">
        <f>IF($I19="","",IFERROR(INDEX(Library!$H$3:$H$2000,MATCH($I19,Library!$A$3:$A$2000,0)),"NOT FOUND"))</f>
        <v/>
      </c>
      <c r="Q19" s="23">
        <f>IF($I19="","",IFERROR(INDEX(Library!$I$3:$I$2000,MATCH($I19,Library!$A$3:$A$2000,0)),"NOT FOUND"))</f>
        <v/>
      </c>
      <c r="R19" s="23">
        <f>IF($I19="","",IFERROR(INDEX(Library!$J$3:$J$2000,MATCH($I19,Library!$A$3:$A$2000,0)),"NOT FOUND"))</f>
        <v/>
      </c>
      <c r="S19" s="24">
        <f>IF($A19="","",IFERROR($D19*$E19,""))</f>
        <v/>
      </c>
      <c r="T19" s="24">
        <f>IF($A19="","",IFERROR($E19/1000/$N19,""))</f>
        <v/>
      </c>
      <c r="U19" s="24">
        <f>IF($A19="","",IFERROR($E19/1000/$O19,""))</f>
        <v/>
      </c>
    </row>
    <row r="20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3">
        <f>IF($I20="","",IFERROR(INDEX(Library!$B$3:$B$2000,MATCH($I20,Library!$A$3:$A$2000,0)),"NOT FOUND"))</f>
        <v/>
      </c>
      <c r="K20" s="23">
        <f>IF($I20="","",IFERROR(INDEX(Library!$C$3:$C$2000,MATCH($I20,Library!$A$3:$A$2000,0)),"NOT FOUND"))</f>
        <v/>
      </c>
      <c r="L20" s="23">
        <f>IF($I20="","",IFERROR(INDEX(Library!$D$3:$D$2000,MATCH($I20,Library!$A$3:$A$2000,0)),"NOT FOUND"))</f>
        <v/>
      </c>
      <c r="M20" s="23">
        <f>IF($I20="","",IFERROR(INDEX(Library!$E$3:$E$2000,MATCH($I20,Library!$A$3:$A$2000,0)),"NOT FOUND"))</f>
        <v/>
      </c>
      <c r="N20" s="23">
        <f>IF($I20="","",IFERROR(INDEX(Library!$F$3:$F$2000,MATCH($I20,Library!$A$3:$A$2000,0)),"NOT FOUND"))</f>
        <v/>
      </c>
      <c r="O20" s="23">
        <f>IF($I20="","",IFERROR(INDEX(Library!$G$3:$G$2000,MATCH($I20,Library!$A$3:$A$2000,0)),"NOT FOUND"))</f>
        <v/>
      </c>
      <c r="P20" s="23">
        <f>IF($I20="","",IFERROR(INDEX(Library!$H$3:$H$2000,MATCH($I20,Library!$A$3:$A$2000,0)),"NOT FOUND"))</f>
        <v/>
      </c>
      <c r="Q20" s="23">
        <f>IF($I20="","",IFERROR(INDEX(Library!$I$3:$I$2000,MATCH($I20,Library!$A$3:$A$2000,0)),"NOT FOUND"))</f>
        <v/>
      </c>
      <c r="R20" s="23">
        <f>IF($I20="","",IFERROR(INDEX(Library!$J$3:$J$2000,MATCH($I20,Library!$A$3:$A$2000,0)),"NOT FOUND"))</f>
        <v/>
      </c>
      <c r="S20" s="24">
        <f>IF($A20="","",IFERROR($D20*$E20,""))</f>
        <v/>
      </c>
      <c r="T20" s="24">
        <f>IF($A20="","",IFERROR($E20/1000/$N20,""))</f>
        <v/>
      </c>
      <c r="U20" s="24">
        <f>IF($A20="","",IFERROR($E20/1000/$O20,""))</f>
        <v/>
      </c>
    </row>
    <row r="21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3">
        <f>IF($I21="","",IFERROR(INDEX(Library!$B$3:$B$2000,MATCH($I21,Library!$A$3:$A$2000,0)),"NOT FOUND"))</f>
        <v/>
      </c>
      <c r="K21" s="23">
        <f>IF($I21="","",IFERROR(INDEX(Library!$C$3:$C$2000,MATCH($I21,Library!$A$3:$A$2000,0)),"NOT FOUND"))</f>
        <v/>
      </c>
      <c r="L21" s="23">
        <f>IF($I21="","",IFERROR(INDEX(Library!$D$3:$D$2000,MATCH($I21,Library!$A$3:$A$2000,0)),"NOT FOUND"))</f>
        <v/>
      </c>
      <c r="M21" s="23">
        <f>IF($I21="","",IFERROR(INDEX(Library!$E$3:$E$2000,MATCH($I21,Library!$A$3:$A$2000,0)),"NOT FOUND"))</f>
        <v/>
      </c>
      <c r="N21" s="23">
        <f>IF($I21="","",IFERROR(INDEX(Library!$F$3:$F$2000,MATCH($I21,Library!$A$3:$A$2000,0)),"NOT FOUND"))</f>
        <v/>
      </c>
      <c r="O21" s="23">
        <f>IF($I21="","",IFERROR(INDEX(Library!$G$3:$G$2000,MATCH($I21,Library!$A$3:$A$2000,0)),"NOT FOUND"))</f>
        <v/>
      </c>
      <c r="P21" s="23">
        <f>IF($I21="","",IFERROR(INDEX(Library!$H$3:$H$2000,MATCH($I21,Library!$A$3:$A$2000,0)),"NOT FOUND"))</f>
        <v/>
      </c>
      <c r="Q21" s="23">
        <f>IF($I21="","",IFERROR(INDEX(Library!$I$3:$I$2000,MATCH($I21,Library!$A$3:$A$2000,0)),"NOT FOUND"))</f>
        <v/>
      </c>
      <c r="R21" s="23">
        <f>IF($I21="","",IFERROR(INDEX(Library!$J$3:$J$2000,MATCH($I21,Library!$A$3:$A$2000,0)),"NOT FOUND"))</f>
        <v/>
      </c>
      <c r="S21" s="24">
        <f>IF($A21="","",IFERROR($D21*$E21,""))</f>
        <v/>
      </c>
      <c r="T21" s="24">
        <f>IF($A21="","",IFERROR($E21/1000/$N21,""))</f>
        <v/>
      </c>
      <c r="U21" s="24">
        <f>IF($A21="","",IFERROR($E21/1000/$O21,""))</f>
        <v/>
      </c>
    </row>
    <row r="22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3">
        <f>IF($I22="","",IFERROR(INDEX(Library!$B$3:$B$2000,MATCH($I22,Library!$A$3:$A$2000,0)),"NOT FOUND"))</f>
        <v/>
      </c>
      <c r="K22" s="23">
        <f>IF($I22="","",IFERROR(INDEX(Library!$C$3:$C$2000,MATCH($I22,Library!$A$3:$A$2000,0)),"NOT FOUND"))</f>
        <v/>
      </c>
      <c r="L22" s="23">
        <f>IF($I22="","",IFERROR(INDEX(Library!$D$3:$D$2000,MATCH($I22,Library!$A$3:$A$2000,0)),"NOT FOUND"))</f>
        <v/>
      </c>
      <c r="M22" s="23">
        <f>IF($I22="","",IFERROR(INDEX(Library!$E$3:$E$2000,MATCH($I22,Library!$A$3:$A$2000,0)),"NOT FOUND"))</f>
        <v/>
      </c>
      <c r="N22" s="23">
        <f>IF($I22="","",IFERROR(INDEX(Library!$F$3:$F$2000,MATCH($I22,Library!$A$3:$A$2000,0)),"NOT FOUND"))</f>
        <v/>
      </c>
      <c r="O22" s="23">
        <f>IF($I22="","",IFERROR(INDEX(Library!$G$3:$G$2000,MATCH($I22,Library!$A$3:$A$2000,0)),"NOT FOUND"))</f>
        <v/>
      </c>
      <c r="P22" s="23">
        <f>IF($I22="","",IFERROR(INDEX(Library!$H$3:$H$2000,MATCH($I22,Library!$A$3:$A$2000,0)),"NOT FOUND"))</f>
        <v/>
      </c>
      <c r="Q22" s="23">
        <f>IF($I22="","",IFERROR(INDEX(Library!$I$3:$I$2000,MATCH($I22,Library!$A$3:$A$2000,0)),"NOT FOUND"))</f>
        <v/>
      </c>
      <c r="R22" s="23">
        <f>IF($I22="","",IFERROR(INDEX(Library!$J$3:$J$2000,MATCH($I22,Library!$A$3:$A$2000,0)),"NOT FOUND"))</f>
        <v/>
      </c>
      <c r="S22" s="24">
        <f>IF($A22="","",IFERROR($D22*$E22,""))</f>
        <v/>
      </c>
      <c r="T22" s="24">
        <f>IF($A22="","",IFERROR($E22/1000/$N22,""))</f>
        <v/>
      </c>
      <c r="U22" s="24">
        <f>IF($A22="","",IFERROR($E22/1000/$O22,""))</f>
        <v/>
      </c>
    </row>
    <row r="23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3">
        <f>IF($I23="","",IFERROR(INDEX(Library!$B$3:$B$2000,MATCH($I23,Library!$A$3:$A$2000,0)),"NOT FOUND"))</f>
        <v/>
      </c>
      <c r="K23" s="23">
        <f>IF($I23="","",IFERROR(INDEX(Library!$C$3:$C$2000,MATCH($I23,Library!$A$3:$A$2000,0)),"NOT FOUND"))</f>
        <v/>
      </c>
      <c r="L23" s="23">
        <f>IF($I23="","",IFERROR(INDEX(Library!$D$3:$D$2000,MATCH($I23,Library!$A$3:$A$2000,0)),"NOT FOUND"))</f>
        <v/>
      </c>
      <c r="M23" s="23">
        <f>IF($I23="","",IFERROR(INDEX(Library!$E$3:$E$2000,MATCH($I23,Library!$A$3:$A$2000,0)),"NOT FOUND"))</f>
        <v/>
      </c>
      <c r="N23" s="23">
        <f>IF($I23="","",IFERROR(INDEX(Library!$F$3:$F$2000,MATCH($I23,Library!$A$3:$A$2000,0)),"NOT FOUND"))</f>
        <v/>
      </c>
      <c r="O23" s="23">
        <f>IF($I23="","",IFERROR(INDEX(Library!$G$3:$G$2000,MATCH($I23,Library!$A$3:$A$2000,0)),"NOT FOUND"))</f>
        <v/>
      </c>
      <c r="P23" s="23">
        <f>IF($I23="","",IFERROR(INDEX(Library!$H$3:$H$2000,MATCH($I23,Library!$A$3:$A$2000,0)),"NOT FOUND"))</f>
        <v/>
      </c>
      <c r="Q23" s="23">
        <f>IF($I23="","",IFERROR(INDEX(Library!$I$3:$I$2000,MATCH($I23,Library!$A$3:$A$2000,0)),"NOT FOUND"))</f>
        <v/>
      </c>
      <c r="R23" s="23">
        <f>IF($I23="","",IFERROR(INDEX(Library!$J$3:$J$2000,MATCH($I23,Library!$A$3:$A$2000,0)),"NOT FOUND"))</f>
        <v/>
      </c>
      <c r="S23" s="24">
        <f>IF($A23="","",IFERROR($D23*$E23,""))</f>
        <v/>
      </c>
      <c r="T23" s="24">
        <f>IF($A23="","",IFERROR($E23/1000/$N23,""))</f>
        <v/>
      </c>
      <c r="U23" s="24">
        <f>IF($A23="","",IFERROR($E23/1000/$O23,""))</f>
        <v/>
      </c>
    </row>
    <row r="24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3">
        <f>IF($I24="","",IFERROR(INDEX(Library!$B$3:$B$2000,MATCH($I24,Library!$A$3:$A$2000,0)),"NOT FOUND"))</f>
        <v/>
      </c>
      <c r="K24" s="23">
        <f>IF($I24="","",IFERROR(INDEX(Library!$C$3:$C$2000,MATCH($I24,Library!$A$3:$A$2000,0)),"NOT FOUND"))</f>
        <v/>
      </c>
      <c r="L24" s="23">
        <f>IF($I24="","",IFERROR(INDEX(Library!$D$3:$D$2000,MATCH($I24,Library!$A$3:$A$2000,0)),"NOT FOUND"))</f>
        <v/>
      </c>
      <c r="M24" s="23">
        <f>IF($I24="","",IFERROR(INDEX(Library!$E$3:$E$2000,MATCH($I24,Library!$A$3:$A$2000,0)),"NOT FOUND"))</f>
        <v/>
      </c>
      <c r="N24" s="23">
        <f>IF($I24="","",IFERROR(INDEX(Library!$F$3:$F$2000,MATCH($I24,Library!$A$3:$A$2000,0)),"NOT FOUND"))</f>
        <v/>
      </c>
      <c r="O24" s="23">
        <f>IF($I24="","",IFERROR(INDEX(Library!$G$3:$G$2000,MATCH($I24,Library!$A$3:$A$2000,0)),"NOT FOUND"))</f>
        <v/>
      </c>
      <c r="P24" s="23">
        <f>IF($I24="","",IFERROR(INDEX(Library!$H$3:$H$2000,MATCH($I24,Library!$A$3:$A$2000,0)),"NOT FOUND"))</f>
        <v/>
      </c>
      <c r="Q24" s="23">
        <f>IF($I24="","",IFERROR(INDEX(Library!$I$3:$I$2000,MATCH($I24,Library!$A$3:$A$2000,0)),"NOT FOUND"))</f>
        <v/>
      </c>
      <c r="R24" s="23">
        <f>IF($I24="","",IFERROR(INDEX(Library!$J$3:$J$2000,MATCH($I24,Library!$A$3:$A$2000,0)),"NOT FOUND"))</f>
        <v/>
      </c>
      <c r="S24" s="24">
        <f>IF($A24="","",IFERROR($D24*$E24,""))</f>
        <v/>
      </c>
      <c r="T24" s="24">
        <f>IF($A24="","",IFERROR($E24/1000/$N24,""))</f>
        <v/>
      </c>
      <c r="U24" s="24">
        <f>IF($A24="","",IFERROR($E24/1000/$O24,""))</f>
        <v/>
      </c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3">
        <f>IF($I25="","",IFERROR(INDEX(Library!$B$3:$B$2000,MATCH($I25,Library!$A$3:$A$2000,0)),"NOT FOUND"))</f>
        <v/>
      </c>
      <c r="K25" s="23">
        <f>IF($I25="","",IFERROR(INDEX(Library!$C$3:$C$2000,MATCH($I25,Library!$A$3:$A$2000,0)),"NOT FOUND"))</f>
        <v/>
      </c>
      <c r="L25" s="23">
        <f>IF($I25="","",IFERROR(INDEX(Library!$D$3:$D$2000,MATCH($I25,Library!$A$3:$A$2000,0)),"NOT FOUND"))</f>
        <v/>
      </c>
      <c r="M25" s="23">
        <f>IF($I25="","",IFERROR(INDEX(Library!$E$3:$E$2000,MATCH($I25,Library!$A$3:$A$2000,0)),"NOT FOUND"))</f>
        <v/>
      </c>
      <c r="N25" s="23">
        <f>IF($I25="","",IFERROR(INDEX(Library!$F$3:$F$2000,MATCH($I25,Library!$A$3:$A$2000,0)),"NOT FOUND"))</f>
        <v/>
      </c>
      <c r="O25" s="23">
        <f>IF($I25="","",IFERROR(INDEX(Library!$G$3:$G$2000,MATCH($I25,Library!$A$3:$A$2000,0)),"NOT FOUND"))</f>
        <v/>
      </c>
      <c r="P25" s="23">
        <f>IF($I25="","",IFERROR(INDEX(Library!$H$3:$H$2000,MATCH($I25,Library!$A$3:$A$2000,0)),"NOT FOUND"))</f>
        <v/>
      </c>
      <c r="Q25" s="23">
        <f>IF($I25="","",IFERROR(INDEX(Library!$I$3:$I$2000,MATCH($I25,Library!$A$3:$A$2000,0)),"NOT FOUND"))</f>
        <v/>
      </c>
      <c r="R25" s="23">
        <f>IF($I25="","",IFERROR(INDEX(Library!$J$3:$J$2000,MATCH($I25,Library!$A$3:$A$2000,0)),"NOT FOUND"))</f>
        <v/>
      </c>
      <c r="S25" s="24">
        <f>IF($A25="","",IFERROR($D25*$E25,""))</f>
        <v/>
      </c>
      <c r="T25" s="24">
        <f>IF($A25="","",IFERROR($E25/1000/$N25,""))</f>
        <v/>
      </c>
      <c r="U25" s="24">
        <f>IF($A25="","",IFERROR($E25/1000/$O25,""))</f>
        <v/>
      </c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3">
        <f>IF($I26="","",IFERROR(INDEX(Library!$B$3:$B$2000,MATCH($I26,Library!$A$3:$A$2000,0)),"NOT FOUND"))</f>
        <v/>
      </c>
      <c r="K26" s="23">
        <f>IF($I26="","",IFERROR(INDEX(Library!$C$3:$C$2000,MATCH($I26,Library!$A$3:$A$2000,0)),"NOT FOUND"))</f>
        <v/>
      </c>
      <c r="L26" s="23">
        <f>IF($I26="","",IFERROR(INDEX(Library!$D$3:$D$2000,MATCH($I26,Library!$A$3:$A$2000,0)),"NOT FOUND"))</f>
        <v/>
      </c>
      <c r="M26" s="23">
        <f>IF($I26="","",IFERROR(INDEX(Library!$E$3:$E$2000,MATCH($I26,Library!$A$3:$A$2000,0)),"NOT FOUND"))</f>
        <v/>
      </c>
      <c r="N26" s="23">
        <f>IF($I26="","",IFERROR(INDEX(Library!$F$3:$F$2000,MATCH($I26,Library!$A$3:$A$2000,0)),"NOT FOUND"))</f>
        <v/>
      </c>
      <c r="O26" s="23">
        <f>IF($I26="","",IFERROR(INDEX(Library!$G$3:$G$2000,MATCH($I26,Library!$A$3:$A$2000,0)),"NOT FOUND"))</f>
        <v/>
      </c>
      <c r="P26" s="23">
        <f>IF($I26="","",IFERROR(INDEX(Library!$H$3:$H$2000,MATCH($I26,Library!$A$3:$A$2000,0)),"NOT FOUND"))</f>
        <v/>
      </c>
      <c r="Q26" s="23">
        <f>IF($I26="","",IFERROR(INDEX(Library!$I$3:$I$2000,MATCH($I26,Library!$A$3:$A$2000,0)),"NOT FOUND"))</f>
        <v/>
      </c>
      <c r="R26" s="23">
        <f>IF($I26="","",IFERROR(INDEX(Library!$J$3:$J$2000,MATCH($I26,Library!$A$3:$A$2000,0)),"NOT FOUND"))</f>
        <v/>
      </c>
      <c r="S26" s="24">
        <f>IF($A26="","",IFERROR($D26*$E26,""))</f>
        <v/>
      </c>
      <c r="T26" s="24">
        <f>IF($A26="","",IFERROR($E26/1000/$N26,""))</f>
        <v/>
      </c>
      <c r="U26" s="24">
        <f>IF($A26="","",IFERROR($E26/1000/$O26,""))</f>
        <v/>
      </c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3">
        <f>IF($I27="","",IFERROR(INDEX(Library!$B$3:$B$2000,MATCH($I27,Library!$A$3:$A$2000,0)),"NOT FOUND"))</f>
        <v/>
      </c>
      <c r="K27" s="23">
        <f>IF($I27="","",IFERROR(INDEX(Library!$C$3:$C$2000,MATCH($I27,Library!$A$3:$A$2000,0)),"NOT FOUND"))</f>
        <v/>
      </c>
      <c r="L27" s="23">
        <f>IF($I27="","",IFERROR(INDEX(Library!$D$3:$D$2000,MATCH($I27,Library!$A$3:$A$2000,0)),"NOT FOUND"))</f>
        <v/>
      </c>
      <c r="M27" s="23">
        <f>IF($I27="","",IFERROR(INDEX(Library!$E$3:$E$2000,MATCH($I27,Library!$A$3:$A$2000,0)),"NOT FOUND"))</f>
        <v/>
      </c>
      <c r="N27" s="23">
        <f>IF($I27="","",IFERROR(INDEX(Library!$F$3:$F$2000,MATCH($I27,Library!$A$3:$A$2000,0)),"NOT FOUND"))</f>
        <v/>
      </c>
      <c r="O27" s="23">
        <f>IF($I27="","",IFERROR(INDEX(Library!$G$3:$G$2000,MATCH($I27,Library!$A$3:$A$2000,0)),"NOT FOUND"))</f>
        <v/>
      </c>
      <c r="P27" s="23">
        <f>IF($I27="","",IFERROR(INDEX(Library!$H$3:$H$2000,MATCH($I27,Library!$A$3:$A$2000,0)),"NOT FOUND"))</f>
        <v/>
      </c>
      <c r="Q27" s="23">
        <f>IF($I27="","",IFERROR(INDEX(Library!$I$3:$I$2000,MATCH($I27,Library!$A$3:$A$2000,0)),"NOT FOUND"))</f>
        <v/>
      </c>
      <c r="R27" s="23">
        <f>IF($I27="","",IFERROR(INDEX(Library!$J$3:$J$2000,MATCH($I27,Library!$A$3:$A$2000,0)),"NOT FOUND"))</f>
        <v/>
      </c>
      <c r="S27" s="24">
        <f>IF($A27="","",IFERROR($D27*$E27,""))</f>
        <v/>
      </c>
      <c r="T27" s="24">
        <f>IF($A27="","",IFERROR($E27/1000/$N27,""))</f>
        <v/>
      </c>
      <c r="U27" s="24">
        <f>IF($A27="","",IFERROR($E27/1000/$O27,""))</f>
        <v/>
      </c>
    </row>
    <row r="28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3">
        <f>IF($I28="","",IFERROR(INDEX(Library!$B$3:$B$2000,MATCH($I28,Library!$A$3:$A$2000,0)),"NOT FOUND"))</f>
        <v/>
      </c>
      <c r="K28" s="23">
        <f>IF($I28="","",IFERROR(INDEX(Library!$C$3:$C$2000,MATCH($I28,Library!$A$3:$A$2000,0)),"NOT FOUND"))</f>
        <v/>
      </c>
      <c r="L28" s="23">
        <f>IF($I28="","",IFERROR(INDEX(Library!$D$3:$D$2000,MATCH($I28,Library!$A$3:$A$2000,0)),"NOT FOUND"))</f>
        <v/>
      </c>
      <c r="M28" s="23">
        <f>IF($I28="","",IFERROR(INDEX(Library!$E$3:$E$2000,MATCH($I28,Library!$A$3:$A$2000,0)),"NOT FOUND"))</f>
        <v/>
      </c>
      <c r="N28" s="23">
        <f>IF($I28="","",IFERROR(INDEX(Library!$F$3:$F$2000,MATCH($I28,Library!$A$3:$A$2000,0)),"NOT FOUND"))</f>
        <v/>
      </c>
      <c r="O28" s="23">
        <f>IF($I28="","",IFERROR(INDEX(Library!$G$3:$G$2000,MATCH($I28,Library!$A$3:$A$2000,0)),"NOT FOUND"))</f>
        <v/>
      </c>
      <c r="P28" s="23">
        <f>IF($I28="","",IFERROR(INDEX(Library!$H$3:$H$2000,MATCH($I28,Library!$A$3:$A$2000,0)),"NOT FOUND"))</f>
        <v/>
      </c>
      <c r="Q28" s="23">
        <f>IF($I28="","",IFERROR(INDEX(Library!$I$3:$I$2000,MATCH($I28,Library!$A$3:$A$2000,0)),"NOT FOUND"))</f>
        <v/>
      </c>
      <c r="R28" s="23">
        <f>IF($I28="","",IFERROR(INDEX(Library!$J$3:$J$2000,MATCH($I28,Library!$A$3:$A$2000,0)),"NOT FOUND"))</f>
        <v/>
      </c>
      <c r="S28" s="24">
        <f>IF($A28="","",IFERROR($D28*$E28,""))</f>
        <v/>
      </c>
      <c r="T28" s="24">
        <f>IF($A28="","",IFERROR($E28/1000/$N28,""))</f>
        <v/>
      </c>
      <c r="U28" s="24">
        <f>IF($A28="","",IFERROR($E28/1000/$O28,""))</f>
        <v/>
      </c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3">
        <f>IF($I29="","",IFERROR(INDEX(Library!$B$3:$B$2000,MATCH($I29,Library!$A$3:$A$2000,0)),"NOT FOUND"))</f>
        <v/>
      </c>
      <c r="K29" s="23">
        <f>IF($I29="","",IFERROR(INDEX(Library!$C$3:$C$2000,MATCH($I29,Library!$A$3:$A$2000,0)),"NOT FOUND"))</f>
        <v/>
      </c>
      <c r="L29" s="23">
        <f>IF($I29="","",IFERROR(INDEX(Library!$D$3:$D$2000,MATCH($I29,Library!$A$3:$A$2000,0)),"NOT FOUND"))</f>
        <v/>
      </c>
      <c r="M29" s="23">
        <f>IF($I29="","",IFERROR(INDEX(Library!$E$3:$E$2000,MATCH($I29,Library!$A$3:$A$2000,0)),"NOT FOUND"))</f>
        <v/>
      </c>
      <c r="N29" s="23">
        <f>IF($I29="","",IFERROR(INDEX(Library!$F$3:$F$2000,MATCH($I29,Library!$A$3:$A$2000,0)),"NOT FOUND"))</f>
        <v/>
      </c>
      <c r="O29" s="23">
        <f>IF($I29="","",IFERROR(INDEX(Library!$G$3:$G$2000,MATCH($I29,Library!$A$3:$A$2000,0)),"NOT FOUND"))</f>
        <v/>
      </c>
      <c r="P29" s="23">
        <f>IF($I29="","",IFERROR(INDEX(Library!$H$3:$H$2000,MATCH($I29,Library!$A$3:$A$2000,0)),"NOT FOUND"))</f>
        <v/>
      </c>
      <c r="Q29" s="23">
        <f>IF($I29="","",IFERROR(INDEX(Library!$I$3:$I$2000,MATCH($I29,Library!$A$3:$A$2000,0)),"NOT FOUND"))</f>
        <v/>
      </c>
      <c r="R29" s="23">
        <f>IF($I29="","",IFERROR(INDEX(Library!$J$3:$J$2000,MATCH($I29,Library!$A$3:$A$2000,0)),"NOT FOUND"))</f>
        <v/>
      </c>
      <c r="S29" s="24">
        <f>IF($A29="","",IFERROR($D29*$E29,""))</f>
        <v/>
      </c>
      <c r="T29" s="24">
        <f>IF($A29="","",IFERROR($E29/1000/$N29,""))</f>
        <v/>
      </c>
      <c r="U29" s="24">
        <f>IF($A29="","",IFERROR($E29/1000/$O29,""))</f>
        <v/>
      </c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3">
        <f>IF($I30="","",IFERROR(INDEX(Library!$B$3:$B$2000,MATCH($I30,Library!$A$3:$A$2000,0)),"NOT FOUND"))</f>
        <v/>
      </c>
      <c r="K30" s="23">
        <f>IF($I30="","",IFERROR(INDEX(Library!$C$3:$C$2000,MATCH($I30,Library!$A$3:$A$2000,0)),"NOT FOUND"))</f>
        <v/>
      </c>
      <c r="L30" s="23">
        <f>IF($I30="","",IFERROR(INDEX(Library!$D$3:$D$2000,MATCH($I30,Library!$A$3:$A$2000,0)),"NOT FOUND"))</f>
        <v/>
      </c>
      <c r="M30" s="23">
        <f>IF($I30="","",IFERROR(INDEX(Library!$E$3:$E$2000,MATCH($I30,Library!$A$3:$A$2000,0)),"NOT FOUND"))</f>
        <v/>
      </c>
      <c r="N30" s="23">
        <f>IF($I30="","",IFERROR(INDEX(Library!$F$3:$F$2000,MATCH($I30,Library!$A$3:$A$2000,0)),"NOT FOUND"))</f>
        <v/>
      </c>
      <c r="O30" s="23">
        <f>IF($I30="","",IFERROR(INDEX(Library!$G$3:$G$2000,MATCH($I30,Library!$A$3:$A$2000,0)),"NOT FOUND"))</f>
        <v/>
      </c>
      <c r="P30" s="23">
        <f>IF($I30="","",IFERROR(INDEX(Library!$H$3:$H$2000,MATCH($I30,Library!$A$3:$A$2000,0)),"NOT FOUND"))</f>
        <v/>
      </c>
      <c r="Q30" s="23">
        <f>IF($I30="","",IFERROR(INDEX(Library!$I$3:$I$2000,MATCH($I30,Library!$A$3:$A$2000,0)),"NOT FOUND"))</f>
        <v/>
      </c>
      <c r="R30" s="23">
        <f>IF($I30="","",IFERROR(INDEX(Library!$J$3:$J$2000,MATCH($I30,Library!$A$3:$A$2000,0)),"NOT FOUND"))</f>
        <v/>
      </c>
      <c r="S30" s="24">
        <f>IF($A30="","",IFERROR($D30*$E30,""))</f>
        <v/>
      </c>
      <c r="T30" s="24">
        <f>IF($A30="","",IFERROR($E30/1000/$N30,""))</f>
        <v/>
      </c>
      <c r="U30" s="24">
        <f>IF($A30="","",IFERROR($E30/1000/$O30,""))</f>
        <v/>
      </c>
    </row>
    <row r="31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3">
        <f>IF($I31="","",IFERROR(INDEX(Library!$B$3:$B$2000,MATCH($I31,Library!$A$3:$A$2000,0)),"NOT FOUND"))</f>
        <v/>
      </c>
      <c r="K31" s="23">
        <f>IF($I31="","",IFERROR(INDEX(Library!$C$3:$C$2000,MATCH($I31,Library!$A$3:$A$2000,0)),"NOT FOUND"))</f>
        <v/>
      </c>
      <c r="L31" s="23">
        <f>IF($I31="","",IFERROR(INDEX(Library!$D$3:$D$2000,MATCH($I31,Library!$A$3:$A$2000,0)),"NOT FOUND"))</f>
        <v/>
      </c>
      <c r="M31" s="23">
        <f>IF($I31="","",IFERROR(INDEX(Library!$E$3:$E$2000,MATCH($I31,Library!$A$3:$A$2000,0)),"NOT FOUND"))</f>
        <v/>
      </c>
      <c r="N31" s="23">
        <f>IF($I31="","",IFERROR(INDEX(Library!$F$3:$F$2000,MATCH($I31,Library!$A$3:$A$2000,0)),"NOT FOUND"))</f>
        <v/>
      </c>
      <c r="O31" s="23">
        <f>IF($I31="","",IFERROR(INDEX(Library!$G$3:$G$2000,MATCH($I31,Library!$A$3:$A$2000,0)),"NOT FOUND"))</f>
        <v/>
      </c>
      <c r="P31" s="23">
        <f>IF($I31="","",IFERROR(INDEX(Library!$H$3:$H$2000,MATCH($I31,Library!$A$3:$A$2000,0)),"NOT FOUND"))</f>
        <v/>
      </c>
      <c r="Q31" s="23">
        <f>IF($I31="","",IFERROR(INDEX(Library!$I$3:$I$2000,MATCH($I31,Library!$A$3:$A$2000,0)),"NOT FOUND"))</f>
        <v/>
      </c>
      <c r="R31" s="23">
        <f>IF($I31="","",IFERROR(INDEX(Library!$J$3:$J$2000,MATCH($I31,Library!$A$3:$A$2000,0)),"NOT FOUND"))</f>
        <v/>
      </c>
      <c r="S31" s="24">
        <f>IF($A31="","",IFERROR($D31*$E31,""))</f>
        <v/>
      </c>
      <c r="T31" s="24">
        <f>IF($A31="","",IFERROR($E31/1000/$N31,""))</f>
        <v/>
      </c>
      <c r="U31" s="24">
        <f>IF($A31="","",IFERROR($E31/1000/$O31,""))</f>
        <v/>
      </c>
    </row>
    <row r="32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3">
        <f>IF($I32="","",IFERROR(INDEX(Library!$B$3:$B$2000,MATCH($I32,Library!$A$3:$A$2000,0)),"NOT FOUND"))</f>
        <v/>
      </c>
      <c r="K32" s="23">
        <f>IF($I32="","",IFERROR(INDEX(Library!$C$3:$C$2000,MATCH($I32,Library!$A$3:$A$2000,0)),"NOT FOUND"))</f>
        <v/>
      </c>
      <c r="L32" s="23">
        <f>IF($I32="","",IFERROR(INDEX(Library!$D$3:$D$2000,MATCH($I32,Library!$A$3:$A$2000,0)),"NOT FOUND"))</f>
        <v/>
      </c>
      <c r="M32" s="23">
        <f>IF($I32="","",IFERROR(INDEX(Library!$E$3:$E$2000,MATCH($I32,Library!$A$3:$A$2000,0)),"NOT FOUND"))</f>
        <v/>
      </c>
      <c r="N32" s="23">
        <f>IF($I32="","",IFERROR(INDEX(Library!$F$3:$F$2000,MATCH($I32,Library!$A$3:$A$2000,0)),"NOT FOUND"))</f>
        <v/>
      </c>
      <c r="O32" s="23">
        <f>IF($I32="","",IFERROR(INDEX(Library!$G$3:$G$2000,MATCH($I32,Library!$A$3:$A$2000,0)),"NOT FOUND"))</f>
        <v/>
      </c>
      <c r="P32" s="23">
        <f>IF($I32="","",IFERROR(INDEX(Library!$H$3:$H$2000,MATCH($I32,Library!$A$3:$A$2000,0)),"NOT FOUND"))</f>
        <v/>
      </c>
      <c r="Q32" s="23">
        <f>IF($I32="","",IFERROR(INDEX(Library!$I$3:$I$2000,MATCH($I32,Library!$A$3:$A$2000,0)),"NOT FOUND"))</f>
        <v/>
      </c>
      <c r="R32" s="23">
        <f>IF($I32="","",IFERROR(INDEX(Library!$J$3:$J$2000,MATCH($I32,Library!$A$3:$A$2000,0)),"NOT FOUND"))</f>
        <v/>
      </c>
      <c r="S32" s="24">
        <f>IF($A32="","",IFERROR($D32*$E32,""))</f>
        <v/>
      </c>
      <c r="T32" s="24">
        <f>IF($A32="","",IFERROR($E32/1000/$N32,""))</f>
        <v/>
      </c>
      <c r="U32" s="24">
        <f>IF($A32="","",IFERROR($E32/1000/$O32,""))</f>
        <v/>
      </c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3">
        <f>IF($I33="","",IFERROR(INDEX(Library!$B$3:$B$2000,MATCH($I33,Library!$A$3:$A$2000,0)),"NOT FOUND"))</f>
        <v/>
      </c>
      <c r="K33" s="23">
        <f>IF($I33="","",IFERROR(INDEX(Library!$C$3:$C$2000,MATCH($I33,Library!$A$3:$A$2000,0)),"NOT FOUND"))</f>
        <v/>
      </c>
      <c r="L33" s="23">
        <f>IF($I33="","",IFERROR(INDEX(Library!$D$3:$D$2000,MATCH($I33,Library!$A$3:$A$2000,0)),"NOT FOUND"))</f>
        <v/>
      </c>
      <c r="M33" s="23">
        <f>IF($I33="","",IFERROR(INDEX(Library!$E$3:$E$2000,MATCH($I33,Library!$A$3:$A$2000,0)),"NOT FOUND"))</f>
        <v/>
      </c>
      <c r="N33" s="23">
        <f>IF($I33="","",IFERROR(INDEX(Library!$F$3:$F$2000,MATCH($I33,Library!$A$3:$A$2000,0)),"NOT FOUND"))</f>
        <v/>
      </c>
      <c r="O33" s="23">
        <f>IF($I33="","",IFERROR(INDEX(Library!$G$3:$G$2000,MATCH($I33,Library!$A$3:$A$2000,0)),"NOT FOUND"))</f>
        <v/>
      </c>
      <c r="P33" s="23">
        <f>IF($I33="","",IFERROR(INDEX(Library!$H$3:$H$2000,MATCH($I33,Library!$A$3:$A$2000,0)),"NOT FOUND"))</f>
        <v/>
      </c>
      <c r="Q33" s="23">
        <f>IF($I33="","",IFERROR(INDEX(Library!$I$3:$I$2000,MATCH($I33,Library!$A$3:$A$2000,0)),"NOT FOUND"))</f>
        <v/>
      </c>
      <c r="R33" s="23">
        <f>IF($I33="","",IFERROR(INDEX(Library!$J$3:$J$2000,MATCH($I33,Library!$A$3:$A$2000,0)),"NOT FOUND"))</f>
        <v/>
      </c>
      <c r="S33" s="24">
        <f>IF($A33="","",IFERROR($D33*$E33,""))</f>
        <v/>
      </c>
      <c r="T33" s="24">
        <f>IF($A33="","",IFERROR($E33/1000/$N33,""))</f>
        <v/>
      </c>
      <c r="U33" s="24">
        <f>IF($A33="","",IFERROR($E33/1000/$O33,""))</f>
        <v/>
      </c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3">
        <f>IF($I34="","",IFERROR(INDEX(Library!$B$3:$B$2000,MATCH($I34,Library!$A$3:$A$2000,0)),"NOT FOUND"))</f>
        <v/>
      </c>
      <c r="K34" s="23">
        <f>IF($I34="","",IFERROR(INDEX(Library!$C$3:$C$2000,MATCH($I34,Library!$A$3:$A$2000,0)),"NOT FOUND"))</f>
        <v/>
      </c>
      <c r="L34" s="23">
        <f>IF($I34="","",IFERROR(INDEX(Library!$D$3:$D$2000,MATCH($I34,Library!$A$3:$A$2000,0)),"NOT FOUND"))</f>
        <v/>
      </c>
      <c r="M34" s="23">
        <f>IF($I34="","",IFERROR(INDEX(Library!$E$3:$E$2000,MATCH($I34,Library!$A$3:$A$2000,0)),"NOT FOUND"))</f>
        <v/>
      </c>
      <c r="N34" s="23">
        <f>IF($I34="","",IFERROR(INDEX(Library!$F$3:$F$2000,MATCH($I34,Library!$A$3:$A$2000,0)),"NOT FOUND"))</f>
        <v/>
      </c>
      <c r="O34" s="23">
        <f>IF($I34="","",IFERROR(INDEX(Library!$G$3:$G$2000,MATCH($I34,Library!$A$3:$A$2000,0)),"NOT FOUND"))</f>
        <v/>
      </c>
      <c r="P34" s="23">
        <f>IF($I34="","",IFERROR(INDEX(Library!$H$3:$H$2000,MATCH($I34,Library!$A$3:$A$2000,0)),"NOT FOUND"))</f>
        <v/>
      </c>
      <c r="Q34" s="23">
        <f>IF($I34="","",IFERROR(INDEX(Library!$I$3:$I$2000,MATCH($I34,Library!$A$3:$A$2000,0)),"NOT FOUND"))</f>
        <v/>
      </c>
      <c r="R34" s="23">
        <f>IF($I34="","",IFERROR(INDEX(Library!$J$3:$J$2000,MATCH($I34,Library!$A$3:$A$2000,0)),"NOT FOUND"))</f>
        <v/>
      </c>
      <c r="S34" s="24">
        <f>IF($A34="","",IFERROR($D34*$E34,""))</f>
        <v/>
      </c>
      <c r="T34" s="24">
        <f>IF($A34="","",IFERROR($E34/1000/$N34,""))</f>
        <v/>
      </c>
      <c r="U34" s="24">
        <f>IF($A34="","",IFERROR($E34/1000/$O34,""))</f>
        <v/>
      </c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3">
        <f>IF($I35="","",IFERROR(INDEX(Library!$B$3:$B$2000,MATCH($I35,Library!$A$3:$A$2000,0)),"NOT FOUND"))</f>
        <v/>
      </c>
      <c r="K35" s="23">
        <f>IF($I35="","",IFERROR(INDEX(Library!$C$3:$C$2000,MATCH($I35,Library!$A$3:$A$2000,0)),"NOT FOUND"))</f>
        <v/>
      </c>
      <c r="L35" s="23">
        <f>IF($I35="","",IFERROR(INDEX(Library!$D$3:$D$2000,MATCH($I35,Library!$A$3:$A$2000,0)),"NOT FOUND"))</f>
        <v/>
      </c>
      <c r="M35" s="23">
        <f>IF($I35="","",IFERROR(INDEX(Library!$E$3:$E$2000,MATCH($I35,Library!$A$3:$A$2000,0)),"NOT FOUND"))</f>
        <v/>
      </c>
      <c r="N35" s="23">
        <f>IF($I35="","",IFERROR(INDEX(Library!$F$3:$F$2000,MATCH($I35,Library!$A$3:$A$2000,0)),"NOT FOUND"))</f>
        <v/>
      </c>
      <c r="O35" s="23">
        <f>IF($I35="","",IFERROR(INDEX(Library!$G$3:$G$2000,MATCH($I35,Library!$A$3:$A$2000,0)),"NOT FOUND"))</f>
        <v/>
      </c>
      <c r="P35" s="23">
        <f>IF($I35="","",IFERROR(INDEX(Library!$H$3:$H$2000,MATCH($I35,Library!$A$3:$A$2000,0)),"NOT FOUND"))</f>
        <v/>
      </c>
      <c r="Q35" s="23">
        <f>IF($I35="","",IFERROR(INDEX(Library!$I$3:$I$2000,MATCH($I35,Library!$A$3:$A$2000,0)),"NOT FOUND"))</f>
        <v/>
      </c>
      <c r="R35" s="23">
        <f>IF($I35="","",IFERROR(INDEX(Library!$J$3:$J$2000,MATCH($I35,Library!$A$3:$A$2000,0)),"NOT FOUND"))</f>
        <v/>
      </c>
      <c r="S35" s="24">
        <f>IF($A35="","",IFERROR($D35*$E35,""))</f>
        <v/>
      </c>
      <c r="T35" s="24">
        <f>IF($A35="","",IFERROR($E35/1000/$N35,""))</f>
        <v/>
      </c>
      <c r="U35" s="24">
        <f>IF($A35="","",IFERROR($E35/1000/$O35,""))</f>
        <v/>
      </c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3">
        <f>IF($I36="","",IFERROR(INDEX(Library!$B$3:$B$2000,MATCH($I36,Library!$A$3:$A$2000,0)),"NOT FOUND"))</f>
        <v/>
      </c>
      <c r="K36" s="23">
        <f>IF($I36="","",IFERROR(INDEX(Library!$C$3:$C$2000,MATCH($I36,Library!$A$3:$A$2000,0)),"NOT FOUND"))</f>
        <v/>
      </c>
      <c r="L36" s="23">
        <f>IF($I36="","",IFERROR(INDEX(Library!$D$3:$D$2000,MATCH($I36,Library!$A$3:$A$2000,0)),"NOT FOUND"))</f>
        <v/>
      </c>
      <c r="M36" s="23">
        <f>IF($I36="","",IFERROR(INDEX(Library!$E$3:$E$2000,MATCH($I36,Library!$A$3:$A$2000,0)),"NOT FOUND"))</f>
        <v/>
      </c>
      <c r="N36" s="23">
        <f>IF($I36="","",IFERROR(INDEX(Library!$F$3:$F$2000,MATCH($I36,Library!$A$3:$A$2000,0)),"NOT FOUND"))</f>
        <v/>
      </c>
      <c r="O36" s="23">
        <f>IF($I36="","",IFERROR(INDEX(Library!$G$3:$G$2000,MATCH($I36,Library!$A$3:$A$2000,0)),"NOT FOUND"))</f>
        <v/>
      </c>
      <c r="P36" s="23">
        <f>IF($I36="","",IFERROR(INDEX(Library!$H$3:$H$2000,MATCH($I36,Library!$A$3:$A$2000,0)),"NOT FOUND"))</f>
        <v/>
      </c>
      <c r="Q36" s="23">
        <f>IF($I36="","",IFERROR(INDEX(Library!$I$3:$I$2000,MATCH($I36,Library!$A$3:$A$2000,0)),"NOT FOUND"))</f>
        <v/>
      </c>
      <c r="R36" s="23">
        <f>IF($I36="","",IFERROR(INDEX(Library!$J$3:$J$2000,MATCH($I36,Library!$A$3:$A$2000,0)),"NOT FOUND"))</f>
        <v/>
      </c>
      <c r="S36" s="24">
        <f>IF($A36="","",IFERROR($D36*$E36,""))</f>
        <v/>
      </c>
      <c r="T36" s="24">
        <f>IF($A36="","",IFERROR($E36/1000/$N36,""))</f>
        <v/>
      </c>
      <c r="U36" s="24">
        <f>IF($A36="","",IFERROR($E36/1000/$O36,""))</f>
        <v/>
      </c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3">
        <f>IF($I37="","",IFERROR(INDEX(Library!$B$3:$B$2000,MATCH($I37,Library!$A$3:$A$2000,0)),"NOT FOUND"))</f>
        <v/>
      </c>
      <c r="K37" s="23">
        <f>IF($I37="","",IFERROR(INDEX(Library!$C$3:$C$2000,MATCH($I37,Library!$A$3:$A$2000,0)),"NOT FOUND"))</f>
        <v/>
      </c>
      <c r="L37" s="23">
        <f>IF($I37="","",IFERROR(INDEX(Library!$D$3:$D$2000,MATCH($I37,Library!$A$3:$A$2000,0)),"NOT FOUND"))</f>
        <v/>
      </c>
      <c r="M37" s="23">
        <f>IF($I37="","",IFERROR(INDEX(Library!$E$3:$E$2000,MATCH($I37,Library!$A$3:$A$2000,0)),"NOT FOUND"))</f>
        <v/>
      </c>
      <c r="N37" s="23">
        <f>IF($I37="","",IFERROR(INDEX(Library!$F$3:$F$2000,MATCH($I37,Library!$A$3:$A$2000,0)),"NOT FOUND"))</f>
        <v/>
      </c>
      <c r="O37" s="23">
        <f>IF($I37="","",IFERROR(INDEX(Library!$G$3:$G$2000,MATCH($I37,Library!$A$3:$A$2000,0)),"NOT FOUND"))</f>
        <v/>
      </c>
      <c r="P37" s="23">
        <f>IF($I37="","",IFERROR(INDEX(Library!$H$3:$H$2000,MATCH($I37,Library!$A$3:$A$2000,0)),"NOT FOUND"))</f>
        <v/>
      </c>
      <c r="Q37" s="23">
        <f>IF($I37="","",IFERROR(INDEX(Library!$I$3:$I$2000,MATCH($I37,Library!$A$3:$A$2000,0)),"NOT FOUND"))</f>
        <v/>
      </c>
      <c r="R37" s="23">
        <f>IF($I37="","",IFERROR(INDEX(Library!$J$3:$J$2000,MATCH($I37,Library!$A$3:$A$2000,0)),"NOT FOUND"))</f>
        <v/>
      </c>
      <c r="S37" s="24">
        <f>IF($A37="","",IFERROR($D37*$E37,""))</f>
        <v/>
      </c>
      <c r="T37" s="24">
        <f>IF($A37="","",IFERROR($E37/1000/$N37,""))</f>
        <v/>
      </c>
      <c r="U37" s="24">
        <f>IF($A37="","",IFERROR($E37/1000/$O37,""))</f>
        <v/>
      </c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3">
        <f>IF($I38="","",IFERROR(INDEX(Library!$B$3:$B$2000,MATCH($I38,Library!$A$3:$A$2000,0)),"NOT FOUND"))</f>
        <v/>
      </c>
      <c r="K38" s="23">
        <f>IF($I38="","",IFERROR(INDEX(Library!$C$3:$C$2000,MATCH($I38,Library!$A$3:$A$2000,0)),"NOT FOUND"))</f>
        <v/>
      </c>
      <c r="L38" s="23">
        <f>IF($I38="","",IFERROR(INDEX(Library!$D$3:$D$2000,MATCH($I38,Library!$A$3:$A$2000,0)),"NOT FOUND"))</f>
        <v/>
      </c>
      <c r="M38" s="23">
        <f>IF($I38="","",IFERROR(INDEX(Library!$E$3:$E$2000,MATCH($I38,Library!$A$3:$A$2000,0)),"NOT FOUND"))</f>
        <v/>
      </c>
      <c r="N38" s="23">
        <f>IF($I38="","",IFERROR(INDEX(Library!$F$3:$F$2000,MATCH($I38,Library!$A$3:$A$2000,0)),"NOT FOUND"))</f>
        <v/>
      </c>
      <c r="O38" s="23">
        <f>IF($I38="","",IFERROR(INDEX(Library!$G$3:$G$2000,MATCH($I38,Library!$A$3:$A$2000,0)),"NOT FOUND"))</f>
        <v/>
      </c>
      <c r="P38" s="23">
        <f>IF($I38="","",IFERROR(INDEX(Library!$H$3:$H$2000,MATCH($I38,Library!$A$3:$A$2000,0)),"NOT FOUND"))</f>
        <v/>
      </c>
      <c r="Q38" s="23">
        <f>IF($I38="","",IFERROR(INDEX(Library!$I$3:$I$2000,MATCH($I38,Library!$A$3:$A$2000,0)),"NOT FOUND"))</f>
        <v/>
      </c>
      <c r="R38" s="23">
        <f>IF($I38="","",IFERROR(INDEX(Library!$J$3:$J$2000,MATCH($I38,Library!$A$3:$A$2000,0)),"NOT FOUND"))</f>
        <v/>
      </c>
      <c r="S38" s="24">
        <f>IF($A38="","",IFERROR($D38*$E38,""))</f>
        <v/>
      </c>
      <c r="T38" s="24">
        <f>IF($A38="","",IFERROR($E38/1000/$N38,""))</f>
        <v/>
      </c>
      <c r="U38" s="24">
        <f>IF($A38="","",IFERROR($E38/1000/$O38,""))</f>
        <v/>
      </c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3">
        <f>IF($I39="","",IFERROR(INDEX(Library!$B$3:$B$2000,MATCH($I39,Library!$A$3:$A$2000,0)),"NOT FOUND"))</f>
        <v/>
      </c>
      <c r="K39" s="23">
        <f>IF($I39="","",IFERROR(INDEX(Library!$C$3:$C$2000,MATCH($I39,Library!$A$3:$A$2000,0)),"NOT FOUND"))</f>
        <v/>
      </c>
      <c r="L39" s="23">
        <f>IF($I39="","",IFERROR(INDEX(Library!$D$3:$D$2000,MATCH($I39,Library!$A$3:$A$2000,0)),"NOT FOUND"))</f>
        <v/>
      </c>
      <c r="M39" s="23">
        <f>IF($I39="","",IFERROR(INDEX(Library!$E$3:$E$2000,MATCH($I39,Library!$A$3:$A$2000,0)),"NOT FOUND"))</f>
        <v/>
      </c>
      <c r="N39" s="23">
        <f>IF($I39="","",IFERROR(INDEX(Library!$F$3:$F$2000,MATCH($I39,Library!$A$3:$A$2000,0)),"NOT FOUND"))</f>
        <v/>
      </c>
      <c r="O39" s="23">
        <f>IF($I39="","",IFERROR(INDEX(Library!$G$3:$G$2000,MATCH($I39,Library!$A$3:$A$2000,0)),"NOT FOUND"))</f>
        <v/>
      </c>
      <c r="P39" s="23">
        <f>IF($I39="","",IFERROR(INDEX(Library!$H$3:$H$2000,MATCH($I39,Library!$A$3:$A$2000,0)),"NOT FOUND"))</f>
        <v/>
      </c>
      <c r="Q39" s="23">
        <f>IF($I39="","",IFERROR(INDEX(Library!$I$3:$I$2000,MATCH($I39,Library!$A$3:$A$2000,0)),"NOT FOUND"))</f>
        <v/>
      </c>
      <c r="R39" s="23">
        <f>IF($I39="","",IFERROR(INDEX(Library!$J$3:$J$2000,MATCH($I39,Library!$A$3:$A$2000,0)),"NOT FOUND"))</f>
        <v/>
      </c>
      <c r="S39" s="24">
        <f>IF($A39="","",IFERROR($D39*$E39,""))</f>
        <v/>
      </c>
      <c r="T39" s="24">
        <f>IF($A39="","",IFERROR($E39/1000/$N39,""))</f>
        <v/>
      </c>
      <c r="U39" s="24">
        <f>IF($A39="","",IFERROR($E39/1000/$O39,""))</f>
        <v/>
      </c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3">
        <f>IF($I40="","",IFERROR(INDEX(Library!$B$3:$B$2000,MATCH($I40,Library!$A$3:$A$2000,0)),"NOT FOUND"))</f>
        <v/>
      </c>
      <c r="K40" s="23">
        <f>IF($I40="","",IFERROR(INDEX(Library!$C$3:$C$2000,MATCH($I40,Library!$A$3:$A$2000,0)),"NOT FOUND"))</f>
        <v/>
      </c>
      <c r="L40" s="23">
        <f>IF($I40="","",IFERROR(INDEX(Library!$D$3:$D$2000,MATCH($I40,Library!$A$3:$A$2000,0)),"NOT FOUND"))</f>
        <v/>
      </c>
      <c r="M40" s="23">
        <f>IF($I40="","",IFERROR(INDEX(Library!$E$3:$E$2000,MATCH($I40,Library!$A$3:$A$2000,0)),"NOT FOUND"))</f>
        <v/>
      </c>
      <c r="N40" s="23">
        <f>IF($I40="","",IFERROR(INDEX(Library!$F$3:$F$2000,MATCH($I40,Library!$A$3:$A$2000,0)),"NOT FOUND"))</f>
        <v/>
      </c>
      <c r="O40" s="23">
        <f>IF($I40="","",IFERROR(INDEX(Library!$G$3:$G$2000,MATCH($I40,Library!$A$3:$A$2000,0)),"NOT FOUND"))</f>
        <v/>
      </c>
      <c r="P40" s="23">
        <f>IF($I40="","",IFERROR(INDEX(Library!$H$3:$H$2000,MATCH($I40,Library!$A$3:$A$2000,0)),"NOT FOUND"))</f>
        <v/>
      </c>
      <c r="Q40" s="23">
        <f>IF($I40="","",IFERROR(INDEX(Library!$I$3:$I$2000,MATCH($I40,Library!$A$3:$A$2000,0)),"NOT FOUND"))</f>
        <v/>
      </c>
      <c r="R40" s="23">
        <f>IF($I40="","",IFERROR(INDEX(Library!$J$3:$J$2000,MATCH($I40,Library!$A$3:$A$2000,0)),"NOT FOUND"))</f>
        <v/>
      </c>
      <c r="S40" s="24">
        <f>IF($A40="","",IFERROR($D40*$E40,""))</f>
        <v/>
      </c>
      <c r="T40" s="24">
        <f>IF($A40="","",IFERROR($E40/1000/$N40,""))</f>
        <v/>
      </c>
      <c r="U40" s="24">
        <f>IF($A40="","",IFERROR($E40/1000/$O40,""))</f>
        <v/>
      </c>
    </row>
    <row r="41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3">
        <f>IF($I41="","",IFERROR(INDEX(Library!$B$3:$B$2000,MATCH($I41,Library!$A$3:$A$2000,0)),"NOT FOUND"))</f>
        <v/>
      </c>
      <c r="K41" s="23">
        <f>IF($I41="","",IFERROR(INDEX(Library!$C$3:$C$2000,MATCH($I41,Library!$A$3:$A$2000,0)),"NOT FOUND"))</f>
        <v/>
      </c>
      <c r="L41" s="23">
        <f>IF($I41="","",IFERROR(INDEX(Library!$D$3:$D$2000,MATCH($I41,Library!$A$3:$A$2000,0)),"NOT FOUND"))</f>
        <v/>
      </c>
      <c r="M41" s="23">
        <f>IF($I41="","",IFERROR(INDEX(Library!$E$3:$E$2000,MATCH($I41,Library!$A$3:$A$2000,0)),"NOT FOUND"))</f>
        <v/>
      </c>
      <c r="N41" s="23">
        <f>IF($I41="","",IFERROR(INDEX(Library!$F$3:$F$2000,MATCH($I41,Library!$A$3:$A$2000,0)),"NOT FOUND"))</f>
        <v/>
      </c>
      <c r="O41" s="23">
        <f>IF($I41="","",IFERROR(INDEX(Library!$G$3:$G$2000,MATCH($I41,Library!$A$3:$A$2000,0)),"NOT FOUND"))</f>
        <v/>
      </c>
      <c r="P41" s="23">
        <f>IF($I41="","",IFERROR(INDEX(Library!$H$3:$H$2000,MATCH($I41,Library!$A$3:$A$2000,0)),"NOT FOUND"))</f>
        <v/>
      </c>
      <c r="Q41" s="23">
        <f>IF($I41="","",IFERROR(INDEX(Library!$I$3:$I$2000,MATCH($I41,Library!$A$3:$A$2000,0)),"NOT FOUND"))</f>
        <v/>
      </c>
      <c r="R41" s="23">
        <f>IF($I41="","",IFERROR(INDEX(Library!$J$3:$J$2000,MATCH($I41,Library!$A$3:$A$2000,0)),"NOT FOUND"))</f>
        <v/>
      </c>
      <c r="S41" s="24">
        <f>IF($A41="","",IFERROR($D41*$E41,""))</f>
        <v/>
      </c>
      <c r="T41" s="24">
        <f>IF($A41="","",IFERROR($E41/1000/$N41,""))</f>
        <v/>
      </c>
      <c r="U41" s="24">
        <f>IF($A41="","",IFERROR($E41/1000/$O41,""))</f>
        <v/>
      </c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3">
        <f>IF($I42="","",IFERROR(INDEX(Library!$B$3:$B$2000,MATCH($I42,Library!$A$3:$A$2000,0)),"NOT FOUND"))</f>
        <v/>
      </c>
      <c r="K42" s="23">
        <f>IF($I42="","",IFERROR(INDEX(Library!$C$3:$C$2000,MATCH($I42,Library!$A$3:$A$2000,0)),"NOT FOUND"))</f>
        <v/>
      </c>
      <c r="L42" s="23">
        <f>IF($I42="","",IFERROR(INDEX(Library!$D$3:$D$2000,MATCH($I42,Library!$A$3:$A$2000,0)),"NOT FOUND"))</f>
        <v/>
      </c>
      <c r="M42" s="23">
        <f>IF($I42="","",IFERROR(INDEX(Library!$E$3:$E$2000,MATCH($I42,Library!$A$3:$A$2000,0)),"NOT FOUND"))</f>
        <v/>
      </c>
      <c r="N42" s="23">
        <f>IF($I42="","",IFERROR(INDEX(Library!$F$3:$F$2000,MATCH($I42,Library!$A$3:$A$2000,0)),"NOT FOUND"))</f>
        <v/>
      </c>
      <c r="O42" s="23">
        <f>IF($I42="","",IFERROR(INDEX(Library!$G$3:$G$2000,MATCH($I42,Library!$A$3:$A$2000,0)),"NOT FOUND"))</f>
        <v/>
      </c>
      <c r="P42" s="23">
        <f>IF($I42="","",IFERROR(INDEX(Library!$H$3:$H$2000,MATCH($I42,Library!$A$3:$A$2000,0)),"NOT FOUND"))</f>
        <v/>
      </c>
      <c r="Q42" s="23">
        <f>IF($I42="","",IFERROR(INDEX(Library!$I$3:$I$2000,MATCH($I42,Library!$A$3:$A$2000,0)),"NOT FOUND"))</f>
        <v/>
      </c>
      <c r="R42" s="23">
        <f>IF($I42="","",IFERROR(INDEX(Library!$J$3:$J$2000,MATCH($I42,Library!$A$3:$A$2000,0)),"NOT FOUND"))</f>
        <v/>
      </c>
      <c r="S42" s="24">
        <f>IF($A42="","",IFERROR($D42*$E42,""))</f>
        <v/>
      </c>
      <c r="T42" s="24">
        <f>IF($A42="","",IFERROR($E42/1000/$N42,""))</f>
        <v/>
      </c>
      <c r="U42" s="24">
        <f>IF($A42="","",IFERROR($E42/1000/$O42,""))</f>
        <v/>
      </c>
    </row>
    <row r="43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3">
        <f>IF($I43="","",IFERROR(INDEX(Library!$B$3:$B$2000,MATCH($I43,Library!$A$3:$A$2000,0)),"NOT FOUND"))</f>
        <v/>
      </c>
      <c r="K43" s="23">
        <f>IF($I43="","",IFERROR(INDEX(Library!$C$3:$C$2000,MATCH($I43,Library!$A$3:$A$2000,0)),"NOT FOUND"))</f>
        <v/>
      </c>
      <c r="L43" s="23">
        <f>IF($I43="","",IFERROR(INDEX(Library!$D$3:$D$2000,MATCH($I43,Library!$A$3:$A$2000,0)),"NOT FOUND"))</f>
        <v/>
      </c>
      <c r="M43" s="23">
        <f>IF($I43="","",IFERROR(INDEX(Library!$E$3:$E$2000,MATCH($I43,Library!$A$3:$A$2000,0)),"NOT FOUND"))</f>
        <v/>
      </c>
      <c r="N43" s="23">
        <f>IF($I43="","",IFERROR(INDEX(Library!$F$3:$F$2000,MATCH($I43,Library!$A$3:$A$2000,0)),"NOT FOUND"))</f>
        <v/>
      </c>
      <c r="O43" s="23">
        <f>IF($I43="","",IFERROR(INDEX(Library!$G$3:$G$2000,MATCH($I43,Library!$A$3:$A$2000,0)),"NOT FOUND"))</f>
        <v/>
      </c>
      <c r="P43" s="23">
        <f>IF($I43="","",IFERROR(INDEX(Library!$H$3:$H$2000,MATCH($I43,Library!$A$3:$A$2000,0)),"NOT FOUND"))</f>
        <v/>
      </c>
      <c r="Q43" s="23">
        <f>IF($I43="","",IFERROR(INDEX(Library!$I$3:$I$2000,MATCH($I43,Library!$A$3:$A$2000,0)),"NOT FOUND"))</f>
        <v/>
      </c>
      <c r="R43" s="23">
        <f>IF($I43="","",IFERROR(INDEX(Library!$J$3:$J$2000,MATCH($I43,Library!$A$3:$A$2000,0)),"NOT FOUND"))</f>
        <v/>
      </c>
      <c r="S43" s="24">
        <f>IF($A43="","",IFERROR($D43*$E43,""))</f>
        <v/>
      </c>
      <c r="T43" s="24">
        <f>IF($A43="","",IFERROR($E43/1000/$N43,""))</f>
        <v/>
      </c>
      <c r="U43" s="24">
        <f>IF($A43="","",IFERROR($E43/1000/$O43,""))</f>
        <v/>
      </c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3">
        <f>IF($I44="","",IFERROR(INDEX(Library!$B$3:$B$2000,MATCH($I44,Library!$A$3:$A$2000,0)),"NOT FOUND"))</f>
        <v/>
      </c>
      <c r="K44" s="23">
        <f>IF($I44="","",IFERROR(INDEX(Library!$C$3:$C$2000,MATCH($I44,Library!$A$3:$A$2000,0)),"NOT FOUND"))</f>
        <v/>
      </c>
      <c r="L44" s="23">
        <f>IF($I44="","",IFERROR(INDEX(Library!$D$3:$D$2000,MATCH($I44,Library!$A$3:$A$2000,0)),"NOT FOUND"))</f>
        <v/>
      </c>
      <c r="M44" s="23">
        <f>IF($I44="","",IFERROR(INDEX(Library!$E$3:$E$2000,MATCH($I44,Library!$A$3:$A$2000,0)),"NOT FOUND"))</f>
        <v/>
      </c>
      <c r="N44" s="23">
        <f>IF($I44="","",IFERROR(INDEX(Library!$F$3:$F$2000,MATCH($I44,Library!$A$3:$A$2000,0)),"NOT FOUND"))</f>
        <v/>
      </c>
      <c r="O44" s="23">
        <f>IF($I44="","",IFERROR(INDEX(Library!$G$3:$G$2000,MATCH($I44,Library!$A$3:$A$2000,0)),"NOT FOUND"))</f>
        <v/>
      </c>
      <c r="P44" s="23">
        <f>IF($I44="","",IFERROR(INDEX(Library!$H$3:$H$2000,MATCH($I44,Library!$A$3:$A$2000,0)),"NOT FOUND"))</f>
        <v/>
      </c>
      <c r="Q44" s="23">
        <f>IF($I44="","",IFERROR(INDEX(Library!$I$3:$I$2000,MATCH($I44,Library!$A$3:$A$2000,0)),"NOT FOUND"))</f>
        <v/>
      </c>
      <c r="R44" s="23">
        <f>IF($I44="","",IFERROR(INDEX(Library!$J$3:$J$2000,MATCH($I44,Library!$A$3:$A$2000,0)),"NOT FOUND"))</f>
        <v/>
      </c>
      <c r="S44" s="24">
        <f>IF($A44="","",IFERROR($D44*$E44,""))</f>
        <v/>
      </c>
      <c r="T44" s="24">
        <f>IF($A44="","",IFERROR($E44/1000/$N44,""))</f>
        <v/>
      </c>
      <c r="U44" s="24">
        <f>IF($A44="","",IFERROR($E44/1000/$O44,""))</f>
        <v/>
      </c>
    </row>
    <row r="45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3">
        <f>IF($I45="","",IFERROR(INDEX(Library!$B$3:$B$2000,MATCH($I45,Library!$A$3:$A$2000,0)),"NOT FOUND"))</f>
        <v/>
      </c>
      <c r="K45" s="23">
        <f>IF($I45="","",IFERROR(INDEX(Library!$C$3:$C$2000,MATCH($I45,Library!$A$3:$A$2000,0)),"NOT FOUND"))</f>
        <v/>
      </c>
      <c r="L45" s="23">
        <f>IF($I45="","",IFERROR(INDEX(Library!$D$3:$D$2000,MATCH($I45,Library!$A$3:$A$2000,0)),"NOT FOUND"))</f>
        <v/>
      </c>
      <c r="M45" s="23">
        <f>IF($I45="","",IFERROR(INDEX(Library!$E$3:$E$2000,MATCH($I45,Library!$A$3:$A$2000,0)),"NOT FOUND"))</f>
        <v/>
      </c>
      <c r="N45" s="23">
        <f>IF($I45="","",IFERROR(INDEX(Library!$F$3:$F$2000,MATCH($I45,Library!$A$3:$A$2000,0)),"NOT FOUND"))</f>
        <v/>
      </c>
      <c r="O45" s="23">
        <f>IF($I45="","",IFERROR(INDEX(Library!$G$3:$G$2000,MATCH($I45,Library!$A$3:$A$2000,0)),"NOT FOUND"))</f>
        <v/>
      </c>
      <c r="P45" s="23">
        <f>IF($I45="","",IFERROR(INDEX(Library!$H$3:$H$2000,MATCH($I45,Library!$A$3:$A$2000,0)),"NOT FOUND"))</f>
        <v/>
      </c>
      <c r="Q45" s="23">
        <f>IF($I45="","",IFERROR(INDEX(Library!$I$3:$I$2000,MATCH($I45,Library!$A$3:$A$2000,0)),"NOT FOUND"))</f>
        <v/>
      </c>
      <c r="R45" s="23">
        <f>IF($I45="","",IFERROR(INDEX(Library!$J$3:$J$2000,MATCH($I45,Library!$A$3:$A$2000,0)),"NOT FOUND"))</f>
        <v/>
      </c>
      <c r="S45" s="24">
        <f>IF($A45="","",IFERROR($D45*$E45,""))</f>
        <v/>
      </c>
      <c r="T45" s="24">
        <f>IF($A45="","",IFERROR($E45/1000/$N45,""))</f>
        <v/>
      </c>
      <c r="U45" s="24">
        <f>IF($A45="","",IFERROR($E45/1000/$O45,""))</f>
        <v/>
      </c>
    </row>
  </sheetData>
  <mergeCells count="2">
    <mergeCell ref="A1:U1"/>
    <mergeCell ref="A2:U3"/>
  </mergeCells>
  <dataValidations count="1">
    <dataValidation sqref="I6:I45" showDropDown="0" showInputMessage="0" showErrorMessage="0" allowBlank="1" type="list">
      <formula1>=Library!$A$3:$A$2000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25" t="inlineStr">
        <is>
          <t>Key</t>
        </is>
      </c>
      <c r="B1" s="25" t="inlineStr">
        <is>
          <t>Value</t>
        </is>
      </c>
    </row>
    <row r="2">
      <c r="A2" s="26" t="inlineStr">
        <is>
          <t>EquipmentCode</t>
        </is>
      </c>
      <c r="B2" s="26" t="inlineStr">
        <is>
          <t>SUPGRILLE</t>
        </is>
      </c>
    </row>
    <row r="3">
      <c r="A3" s="26" t="inlineStr">
        <is>
          <t>ScheduleName</t>
        </is>
      </c>
      <c r="B3" s="26" t="inlineStr">
        <is>
          <t>Supply Air Terminal Schedule</t>
        </is>
      </c>
    </row>
    <row r="4">
      <c r="A4" s="26" t="inlineStr">
        <is>
          <t>DocumentNumber</t>
        </is>
      </c>
      <c r="B4" s="26" t="inlineStr">
        <is>
          <t>Z9A6461Y19-BOV-5_6-PROJECTNUMBER-SC-M-00000016-G00300-XX-XX</t>
        </is>
      </c>
    </row>
    <row r="5">
      <c r="A5" s="26" t="inlineStr">
        <is>
          <t>Client</t>
        </is>
      </c>
      <c r="B5" s="26" t="inlineStr">
        <is>
          <t>SAMPLECLIENT</t>
        </is>
      </c>
    </row>
    <row r="6">
      <c r="A6" s="26" t="inlineStr">
        <is>
          <t>Project Name</t>
        </is>
      </c>
      <c r="B6" s="26" t="inlineStr">
        <is>
          <t>SAMPLE PROJECT</t>
        </is>
      </c>
    </row>
    <row r="7">
      <c r="A7" s="26" t="inlineStr">
        <is>
          <t>Project Number</t>
        </is>
      </c>
      <c r="B7" s="26" t="inlineStr">
        <is>
          <t>Z9A6461Y19</t>
        </is>
      </c>
    </row>
    <row r="8">
      <c r="A8" s="26" t="inlineStr">
        <is>
          <t>Site Address</t>
        </is>
      </c>
      <c r="B8" s="26" t="inlineStr"/>
    </row>
    <row r="9">
      <c r="A9" s="26" t="inlineStr">
        <is>
          <t>Architect</t>
        </is>
      </c>
      <c r="B9" s="26" t="inlineStr"/>
    </row>
    <row r="10">
      <c r="A10" s="26" t="inlineStr">
        <is>
          <t>Main Contractor</t>
        </is>
      </c>
      <c r="B10" s="26" t="inlineStr"/>
    </row>
    <row r="11">
      <c r="A11" s="26" t="inlineStr">
        <is>
          <t>RIBA Stage</t>
        </is>
      </c>
      <c r="B11" s="26" t="inlineStr">
        <is>
          <t>Stage 4</t>
        </is>
      </c>
    </row>
    <row r="12">
      <c r="A12" s="26" t="inlineStr">
        <is>
          <t>Prepared By</t>
        </is>
      </c>
      <c r="B12" s="26" t="inlineStr">
        <is>
          <t>AG</t>
        </is>
      </c>
    </row>
    <row r="13">
      <c r="A13" s="26" t="inlineStr">
        <is>
          <t>Checked By</t>
        </is>
      </c>
      <c r="B13" s="26" t="inlineStr">
        <is>
          <t>LJ</t>
        </is>
      </c>
    </row>
    <row r="14">
      <c r="A14" s="26" t="inlineStr">
        <is>
          <t>Approved By</t>
        </is>
      </c>
      <c r="B14" s="26" t="inlineStr">
        <is>
          <t>RS</t>
        </is>
      </c>
    </row>
    <row r="15">
      <c r="A15" s="26" t="inlineStr">
        <is>
          <t>path_project_info</t>
        </is>
      </c>
      <c r="B15" s="26" t="inlineStr">
        <is>
          <t>C:\\SharePoint\\Project\\Schedules\\MAINPROJECTINFO.xlsx</t>
        </is>
      </c>
    </row>
    <row r="16">
      <c r="A16" s="26" t="inlineStr">
        <is>
          <t>path_equipment_library</t>
        </is>
      </c>
      <c r="B16" s="26" t="inlineStr">
        <is>
          <t>C:\\SharePoint\\Company\\MEP Library\\EQUIPMENT_LIBRARY_MASTER.xlsx</t>
        </is>
      </c>
    </row>
    <row r="17">
      <c r="A17" s="26" t="inlineStr">
        <is>
          <t>path_submissions_folder</t>
        </is>
      </c>
      <c r="B17" s="26" t="inlineStr">
        <is>
          <t>C:\\SharePoint\\Company\\MEP Library\\submissions</t>
        </is>
      </c>
    </row>
    <row r="18">
      <c r="A18" s="26" t="inlineStr">
        <is>
          <t>LPHW Flow Temperature (degC)</t>
        </is>
      </c>
      <c r="B18" s="26" t="n">
        <v>70</v>
      </c>
    </row>
    <row r="19">
      <c r="A19" s="26" t="inlineStr">
        <is>
          <t>LPHW Return Temperature (degC)</t>
        </is>
      </c>
      <c r="B19" s="26" t="n">
        <v>50</v>
      </c>
    </row>
    <row r="20">
      <c r="A20" s="26" t="inlineStr">
        <is>
          <t>CHW Flow Temperature (degC)</t>
        </is>
      </c>
      <c r="B20" s="26" t="n">
        <v>6</v>
      </c>
    </row>
    <row r="21">
      <c r="A21" s="26" t="inlineStr">
        <is>
          <t>CHW Return Temperature (degC)</t>
        </is>
      </c>
      <c r="B21" s="26" t="n">
        <v>12</v>
      </c>
    </row>
    <row r="22">
      <c r="A22" s="26" t="inlineStr">
        <is>
          <t>Design Ambient Temperature (degC)</t>
        </is>
      </c>
      <c r="B22" s="26" t="n">
        <v>21</v>
      </c>
    </row>
    <row r="23">
      <c r="A23" s="26" t="inlineStr">
        <is>
          <t>Specific Heat Capacity of Water (kJ/kgK)</t>
        </is>
      </c>
      <c r="B23" s="26" t="n">
        <v>4.18</v>
      </c>
    </row>
    <row r="24">
      <c r="A24" s="26" t="inlineStr">
        <is>
          <t>EN 442 Radiator Exponent (n)</t>
        </is>
      </c>
      <c r="B24" s="26" t="n">
        <v>1.3</v>
      </c>
    </row>
    <row r="26">
      <c r="A26" s="27" t="inlineStr">
        <is>
          <t>Written at build time as values. 'Refresh Project Data' updates the project rows from the central MAINPROJECTINFO file.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3" max="3"/>
  </cols>
  <sheetData>
    <row r="1">
      <c r="A1" t="inlineStr">
        <is>
          <t>Status</t>
        </is>
      </c>
      <c r="C1" t="inlineStr">
        <is>
          <t>Revision</t>
        </is>
      </c>
    </row>
    <row r="2">
      <c r="A2" t="inlineStr">
        <is>
          <t>S0 - Work in Progress</t>
        </is>
      </c>
      <c r="C2" t="inlineStr">
        <is>
          <t>P01</t>
        </is>
      </c>
    </row>
    <row r="3">
      <c r="A3" t="inlineStr">
        <is>
          <t>S1 - Suitable for Coordination</t>
        </is>
      </c>
      <c r="C3" t="inlineStr">
        <is>
          <t>P02</t>
        </is>
      </c>
    </row>
    <row r="4">
      <c r="A4" t="inlineStr">
        <is>
          <t>S2 - Suitable for Information</t>
        </is>
      </c>
      <c r="C4" t="inlineStr">
        <is>
          <t>P03</t>
        </is>
      </c>
    </row>
    <row r="5">
      <c r="A5" t="inlineStr">
        <is>
          <t>S3 - Suitable for Review and Comment</t>
        </is>
      </c>
      <c r="C5" t="inlineStr">
        <is>
          <t>P04</t>
        </is>
      </c>
    </row>
    <row r="6">
      <c r="A6" t="inlineStr">
        <is>
          <t>S4 - Suitable for Stage Approval</t>
        </is>
      </c>
      <c r="C6" t="inlineStr">
        <is>
          <t>P05</t>
        </is>
      </c>
    </row>
    <row r="7">
      <c r="A7" t="inlineStr">
        <is>
          <t>S5 - Suitable for Client Acceptance</t>
        </is>
      </c>
      <c r="C7" t="inlineStr">
        <is>
          <t>P06</t>
        </is>
      </c>
    </row>
    <row r="8">
      <c r="A8" t="inlineStr">
        <is>
          <t>A1 - Authorised and Accepted</t>
        </is>
      </c>
      <c r="C8" t="inlineStr">
        <is>
          <t>P07</t>
        </is>
      </c>
    </row>
    <row r="9">
      <c r="A9" t="inlineStr">
        <is>
          <t>B1 - Partial Sign-off, Accepted with Comments</t>
        </is>
      </c>
      <c r="C9" t="inlineStr">
        <is>
          <t>P08</t>
        </is>
      </c>
    </row>
    <row r="10">
      <c r="C10" t="inlineStr">
        <is>
          <t>P09</t>
        </is>
      </c>
    </row>
    <row r="11">
      <c r="C11" t="inlineStr">
        <is>
          <t>P10</t>
        </is>
      </c>
    </row>
    <row r="12">
      <c r="C12" t="inlineStr">
        <is>
          <t>P11</t>
        </is>
      </c>
    </row>
    <row r="13">
      <c r="C13" t="inlineStr">
        <is>
          <t>P12</t>
        </is>
      </c>
    </row>
    <row r="14">
      <c r="C14" t="inlineStr">
        <is>
          <t>P13</t>
        </is>
      </c>
    </row>
    <row r="15">
      <c r="C15" t="inlineStr">
        <is>
          <t>P14</t>
        </is>
      </c>
    </row>
    <row r="16">
      <c r="C16" t="inlineStr">
        <is>
          <t>P15</t>
        </is>
      </c>
    </row>
    <row r="17">
      <c r="C17" t="inlineStr">
        <is>
          <t>P16</t>
        </is>
      </c>
    </row>
    <row r="18">
      <c r="C18" t="inlineStr">
        <is>
          <t>P17</t>
        </is>
      </c>
    </row>
    <row r="19">
      <c r="C19" t="inlineStr">
        <is>
          <t>P18</t>
        </is>
      </c>
    </row>
    <row r="20">
      <c r="C20" t="inlineStr">
        <is>
          <t>P19</t>
        </is>
      </c>
    </row>
    <row r="21">
      <c r="C21" t="inlineStr">
        <is>
          <t>P20</t>
        </is>
      </c>
    </row>
    <row r="22">
      <c r="C22" t="inlineStr">
        <is>
          <t>C01</t>
        </is>
      </c>
    </row>
    <row r="23">
      <c r="C23" t="inlineStr">
        <is>
          <t>C02</t>
        </is>
      </c>
    </row>
    <row r="24">
      <c r="C24" t="inlineStr">
        <is>
          <t>C03</t>
        </is>
      </c>
    </row>
    <row r="25">
      <c r="C25" t="inlineStr">
        <is>
          <t>C04</t>
        </is>
      </c>
    </row>
    <row r="26">
      <c r="C26" t="inlineStr">
        <is>
          <t>C05</t>
        </is>
      </c>
    </row>
    <row r="27">
      <c r="C27" t="inlineStr">
        <is>
          <t>C06</t>
        </is>
      </c>
    </row>
    <row r="28">
      <c r="C28" t="inlineStr">
        <is>
          <t>C07</t>
        </is>
      </c>
    </row>
    <row r="29">
      <c r="C29" t="inlineStr">
        <is>
          <t>C08</t>
        </is>
      </c>
    </row>
    <row r="30">
      <c r="C30" t="inlineStr">
        <is>
          <t>C09</t>
        </is>
      </c>
    </row>
    <row r="31">
      <c r="C31" t="inlineStr">
        <is>
          <t>C10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8" t="inlineStr">
        <is>
          <t>Model Reference</t>
        </is>
      </c>
      <c r="B1" s="28" t="inlineStr">
        <is>
          <t>Manufacturer</t>
        </is>
      </c>
      <c r="C1" s="28" t="inlineStr">
        <is>
          <t>Terminal Type</t>
        </is>
      </c>
      <c r="D1" s="28" t="inlineStr">
        <is>
          <t>Face Size</t>
        </is>
      </c>
      <c r="E1" s="28" t="inlineStr">
        <is>
          <t>Neck Size</t>
        </is>
      </c>
      <c r="F1" s="28" t="inlineStr">
        <is>
          <t>Free Area</t>
        </is>
      </c>
      <c r="G1" s="28" t="inlineStr">
        <is>
          <t>Neck Area</t>
        </is>
      </c>
      <c r="H1" s="28" t="inlineStr">
        <is>
          <t>Discharge Pattern</t>
        </is>
      </c>
      <c r="I1" s="28" t="inlineStr">
        <is>
          <t>Damper Type</t>
        </is>
      </c>
      <c r="J1" s="28" t="inlineStr">
        <is>
          <t>Material / Finish</t>
        </is>
      </c>
    </row>
    <row r="2">
      <c r="A2" s="27" t="inlineStr"/>
      <c r="B2" s="27" t="inlineStr"/>
      <c r="C2" s="27" t="inlineStr"/>
      <c r="D2" s="27" t="inlineStr">
        <is>
          <t>mm</t>
        </is>
      </c>
      <c r="E2" s="27" t="inlineStr">
        <is>
          <t>mm</t>
        </is>
      </c>
      <c r="F2" s="27" t="inlineStr">
        <is>
          <t>m²</t>
        </is>
      </c>
      <c r="G2" s="27" t="inlineStr">
        <is>
          <t>m²</t>
        </is>
      </c>
      <c r="H2" s="27" t="inlineStr"/>
      <c r="I2" s="27" t="inlineStr"/>
      <c r="J2" s="27" t="inlineStr"/>
    </row>
    <row r="3">
      <c r="A3" s="29" t="inlineStr">
        <is>
          <t>SUPGRILLE-EXAMPLE-01</t>
        </is>
      </c>
      <c r="B3" s="29" t="inlineStr">
        <is>
          <t>Trox</t>
        </is>
      </c>
      <c r="C3" s="29" t="inlineStr">
        <is>
          <t>4-Way Square Diffuser</t>
        </is>
      </c>
      <c r="D3" s="29" t="inlineStr">
        <is>
          <t>595 x 595</t>
        </is>
      </c>
      <c r="E3" s="29" t="n">
        <v>200</v>
      </c>
      <c r="F3" s="29" t="n">
        <v>0.031</v>
      </c>
      <c r="G3" s="29" t="n">
        <v>0.0314</v>
      </c>
      <c r="H3" s="29" t="inlineStr">
        <is>
          <t>4-Way Horizontal</t>
        </is>
      </c>
      <c r="I3" s="29" t="inlineStr">
        <is>
          <t>Opposed Blade</t>
        </is>
      </c>
      <c r="J3" s="29" t="inlineStr">
        <is>
          <t>Steel, RAL 9010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2026-08-25T12:43:56Z</dcterms:created>
  <dcterms:modified xmlns:dcterms="http://purl.org/dc/terms/" xmlns:xsi="http://www.w3.org/2001/XMLSchema-instance" xsi:type="dcterms:W3CDTF">2026-08-25T12:43:56Z</dcterms:modified>
</cp:coreProperties>
</file>