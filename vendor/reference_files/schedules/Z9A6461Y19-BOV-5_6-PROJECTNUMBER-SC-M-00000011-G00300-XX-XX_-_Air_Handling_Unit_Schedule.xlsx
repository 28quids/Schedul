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'Schedule'!$A$1:$AH$45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AC4" authorId="0" shapeId="0">
      <text>
        <t>Supply plus extract.</t>
      </text>
    </comment>
    <comment ref="AD4" authorId="0" shapeId="0">
      <text>
        <t>Supply fan power divided by supply airflow.</t>
      </text>
    </comment>
    <comment ref="AE4" authorId="0" shapeId="0">
      <text>
        <t>Extract fan power divided by extract airflow.</t>
      </text>
    </comment>
    <comment ref="AF4" authorId="0" shapeId="0">
      <text>
        <t>Combined fan power divided by supply airflow, per the usual Part L non-domestic convention.</t>
      </text>
    </comment>
    <comment ref="AG4" authorId="0" shapeId="0">
      <text>
        <t>Coil duty divided by (Cp x delta T) using the LPHW temperatures on the SETUP sheet.</t>
      </text>
    </comment>
    <comment ref="AH4" authorId="0" shapeId="0">
      <text>
        <t>Coil duty divided by (Cp x delta T) using the CHW temperatures on the SETUP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AIR HANDLING UNIT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AIR HANDLING UNIT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Air Handling Unit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9.2" customWidth="1" min="3" max="3"/>
    <col width="9.600000000000001" customWidth="1" min="4" max="4"/>
    <col width="9.600000000000001" customWidth="1" min="5" max="5"/>
    <col width="11.2" customWidth="1" min="6" max="6"/>
    <col width="11.2" customWidth="1" min="7" max="7"/>
    <col width="10.4" customWidth="1" min="8" max="8"/>
    <col width="10.4" customWidth="1" min="9" max="9"/>
    <col width="10.4" customWidth="1" min="10" max="10"/>
    <col width="10.4" customWidth="1" min="11" max="11"/>
    <col width="10.4" customWidth="1" min="12" max="12"/>
    <col width="9.600000000000001" customWidth="1" min="13" max="13"/>
    <col width="20" customWidth="1" min="14" max="14"/>
    <col width="14.4" customWidth="1" min="15" max="15"/>
    <col width="8.800000000000001" customWidth="1" min="16" max="16"/>
    <col width="8.800000000000001" customWidth="1" min="17" max="17"/>
    <col width="8.800000000000001" customWidth="1" min="18" max="18"/>
    <col width="9.600000000000001" customWidth="1" min="19" max="19"/>
    <col width="12" customWidth="1" min="20" max="20"/>
    <col width="12" customWidth="1" min="21" max="21"/>
    <col width="11.2" customWidth="1" min="22" max="22"/>
    <col width="11.2" customWidth="1" min="23" max="23"/>
    <col width="12" customWidth="1" min="24" max="24"/>
    <col width="11.2" customWidth="1" min="25" max="25"/>
    <col width="10.4" customWidth="1" min="26" max="26"/>
    <col width="10.4" customWidth="1" min="27" max="27"/>
    <col width="10.4" customWidth="1" min="28" max="28"/>
    <col width="9.600000000000001" customWidth="1" min="29" max="29"/>
    <col width="10.4" customWidth="1" min="30" max="30"/>
    <col width="10.4" customWidth="1" min="31" max="31"/>
    <col width="10.4" customWidth="1" min="32" max="32"/>
    <col width="10.4" customWidth="1" min="33" max="33"/>
    <col width="10.4" customWidth="1" min="34" max="34"/>
  </cols>
  <sheetData>
    <row r="1">
      <c r="A1" s="14" t="inlineStr">
        <is>
          <t>Air Handling Unit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Unit Reference</t>
        </is>
      </c>
      <c r="B4" s="16" t="inlineStr">
        <is>
          <t>Location</t>
        </is>
      </c>
      <c r="C4" s="16" t="inlineStr">
        <is>
          <t>Area Served</t>
        </is>
      </c>
      <c r="D4" s="16" t="inlineStr">
        <is>
          <t>Supply Airflow</t>
        </is>
      </c>
      <c r="E4" s="16" t="inlineStr">
        <is>
          <t>Extract Airflow</t>
        </is>
      </c>
      <c r="F4" s="16" t="inlineStr">
        <is>
          <t>Supply External Static Pressure</t>
        </is>
      </c>
      <c r="G4" s="16" t="inlineStr">
        <is>
          <t>Extract External Static Pressure</t>
        </is>
      </c>
      <c r="H4" s="16" t="inlineStr">
        <is>
          <t>Supply Fan Power Input</t>
        </is>
      </c>
      <c r="I4" s="16" t="inlineStr">
        <is>
          <t>Extract Fan Power Input</t>
        </is>
      </c>
      <c r="J4" s="16" t="inlineStr">
        <is>
          <t>Heating Coil Duty</t>
        </is>
      </c>
      <c r="K4" s="16" t="inlineStr">
        <is>
          <t>Cooling Coil Total Duty</t>
        </is>
      </c>
      <c r="L4" s="16" t="inlineStr">
        <is>
          <t>Cooling Coil Sensible Duty</t>
        </is>
      </c>
      <c r="M4" s="16" t="inlineStr">
        <is>
          <t>Fresh Air Proportion</t>
        </is>
      </c>
      <c r="N4" s="16" t="inlineStr">
        <is>
          <t>Model Reference</t>
        </is>
      </c>
      <c r="O4" s="17" t="inlineStr">
        <is>
          <t>Manufacturer</t>
        </is>
      </c>
      <c r="P4" s="17" t="inlineStr">
        <is>
          <t>Length</t>
        </is>
      </c>
      <c r="Q4" s="17" t="inlineStr">
        <is>
          <t>Width</t>
        </is>
      </c>
      <c r="R4" s="17" t="inlineStr">
        <is>
          <t>Height</t>
        </is>
      </c>
      <c r="S4" s="17" t="inlineStr">
        <is>
          <t>Operating Weight</t>
        </is>
      </c>
      <c r="T4" s="17" t="inlineStr">
        <is>
          <t>Electrical Supply</t>
        </is>
      </c>
      <c r="U4" s="17" t="inlineStr">
        <is>
          <t>Casing Class (BS EN 1886)</t>
        </is>
      </c>
      <c r="V4" s="17" t="inlineStr">
        <is>
          <t>Supply Filter Grade</t>
        </is>
      </c>
      <c r="W4" s="17" t="inlineStr">
        <is>
          <t>Extract Filter Grade</t>
        </is>
      </c>
      <c r="X4" s="17" t="inlineStr">
        <is>
          <t>Heat Recovery Type</t>
        </is>
      </c>
      <c r="Y4" s="17" t="inlineStr">
        <is>
          <t>Heat Recovery Efficiency</t>
        </is>
      </c>
      <c r="Z4" s="17" t="inlineStr">
        <is>
          <t>Sound Power Level Breakout</t>
        </is>
      </c>
      <c r="AA4" s="17" t="inlineStr">
        <is>
          <t>LPHW Coil Connection</t>
        </is>
      </c>
      <c r="AB4" s="17" t="inlineStr">
        <is>
          <t>CHW Coil Connection</t>
        </is>
      </c>
      <c r="AC4" s="18" t="inlineStr">
        <is>
          <t>Total Airflow</t>
        </is>
      </c>
      <c r="AD4" s="18" t="inlineStr">
        <is>
          <t>Supply SFP</t>
        </is>
      </c>
      <c r="AE4" s="18" t="inlineStr">
        <is>
          <t>Extract SFP</t>
        </is>
      </c>
      <c r="AF4" s="18" t="inlineStr">
        <is>
          <t>Total SFP</t>
        </is>
      </c>
      <c r="AG4" s="18" t="inlineStr">
        <is>
          <t>LPHW Flow Rate</t>
        </is>
      </c>
      <c r="AH4" s="18" t="inlineStr">
        <is>
          <t>CHW Flow Rate</t>
        </is>
      </c>
    </row>
    <row r="5">
      <c r="A5" s="19" t="inlineStr"/>
      <c r="B5" s="19" t="inlineStr"/>
      <c r="C5" s="19" t="inlineStr"/>
      <c r="D5" s="19" t="inlineStr">
        <is>
          <t>l/s</t>
        </is>
      </c>
      <c r="E5" s="19" t="inlineStr">
        <is>
          <t>l/s</t>
        </is>
      </c>
      <c r="F5" s="19" t="inlineStr">
        <is>
          <t>Pa</t>
        </is>
      </c>
      <c r="G5" s="19" t="inlineStr">
        <is>
          <t>Pa</t>
        </is>
      </c>
      <c r="H5" s="19" t="inlineStr">
        <is>
          <t>W</t>
        </is>
      </c>
      <c r="I5" s="19" t="inlineStr">
        <is>
          <t>W</t>
        </is>
      </c>
      <c r="J5" s="19" t="inlineStr">
        <is>
          <t>kW</t>
        </is>
      </c>
      <c r="K5" s="19" t="inlineStr">
        <is>
          <t>kW</t>
        </is>
      </c>
      <c r="L5" s="19" t="inlineStr">
        <is>
          <t>kW</t>
        </is>
      </c>
      <c r="M5" s="19" t="inlineStr">
        <is>
          <t>%</t>
        </is>
      </c>
      <c r="N5" s="19" t="inlineStr"/>
      <c r="O5" s="20" t="inlineStr"/>
      <c r="P5" s="20" t="inlineStr">
        <is>
          <t>mm</t>
        </is>
      </c>
      <c r="Q5" s="20" t="inlineStr">
        <is>
          <t>mm</t>
        </is>
      </c>
      <c r="R5" s="20" t="inlineStr">
        <is>
          <t>mm</t>
        </is>
      </c>
      <c r="S5" s="20" t="inlineStr">
        <is>
          <t>kg</t>
        </is>
      </c>
      <c r="T5" s="20" t="inlineStr"/>
      <c r="U5" s="20" t="inlineStr"/>
      <c r="V5" s="20" t="inlineStr"/>
      <c r="W5" s="20" t="inlineStr"/>
      <c r="X5" s="20" t="inlineStr"/>
      <c r="Y5" s="20" t="inlineStr">
        <is>
          <t>%</t>
        </is>
      </c>
      <c r="Z5" s="20" t="inlineStr">
        <is>
          <t>dB(A)</t>
        </is>
      </c>
      <c r="AA5" s="20" t="inlineStr">
        <is>
          <t>mm</t>
        </is>
      </c>
      <c r="AB5" s="20" t="inlineStr">
        <is>
          <t>mm</t>
        </is>
      </c>
      <c r="AC5" s="21" t="inlineStr">
        <is>
          <t>l/s</t>
        </is>
      </c>
      <c r="AD5" s="21" t="inlineStr">
        <is>
          <t>W/(l/s)</t>
        </is>
      </c>
      <c r="AE5" s="21" t="inlineStr">
        <is>
          <t>W/(l/s)</t>
        </is>
      </c>
      <c r="AF5" s="21" t="inlineStr">
        <is>
          <t>W/(l/s)</t>
        </is>
      </c>
      <c r="AG5" s="21" t="inlineStr">
        <is>
          <t>l/s</t>
        </is>
      </c>
      <c r="AH5" s="21" t="inlineStr">
        <is>
          <t>l/s</t>
        </is>
      </c>
    </row>
    <row r="6">
      <c r="A6" s="22" t="inlineStr">
        <is>
          <t>AHU-01</t>
        </is>
      </c>
      <c r="B6" s="22" t="inlineStr">
        <is>
          <t>Level 03 Plantroom</t>
        </is>
      </c>
      <c r="C6" s="22" t="inlineStr">
        <is>
          <t>Levels 01-02 Offices</t>
        </is>
      </c>
      <c r="D6" s="22" t="n">
        <v>2400</v>
      </c>
      <c r="E6" s="22" t="n">
        <v>2200</v>
      </c>
      <c r="F6" s="22" t="n">
        <v>300</v>
      </c>
      <c r="G6" s="22" t="n">
        <v>250</v>
      </c>
      <c r="H6" s="22" t="n">
        <v>2880</v>
      </c>
      <c r="I6" s="22" t="n">
        <v>2420</v>
      </c>
      <c r="J6" s="22" t="n">
        <v>42.5</v>
      </c>
      <c r="K6" s="22" t="n">
        <v>58</v>
      </c>
      <c r="L6" s="22" t="n">
        <v>44</v>
      </c>
      <c r="M6" s="22" t="n">
        <v>100</v>
      </c>
      <c r="N6" s="22" t="inlineStr">
        <is>
          <t>AHU-EXAMPLE-01</t>
        </is>
      </c>
      <c r="O6" s="23">
        <f>IF($N6="","",IFERROR(INDEX(Library!$B$3:$B$2000,MATCH($N6,Library!$A$3:$A$2000,0)),"NOT FOUND"))</f>
        <v/>
      </c>
      <c r="P6" s="23">
        <f>IF($N6="","",IFERROR(INDEX(Library!$C$3:$C$2000,MATCH($N6,Library!$A$3:$A$2000,0)),"NOT FOUND"))</f>
        <v/>
      </c>
      <c r="Q6" s="23">
        <f>IF($N6="","",IFERROR(INDEX(Library!$D$3:$D$2000,MATCH($N6,Library!$A$3:$A$2000,0)),"NOT FOUND"))</f>
        <v/>
      </c>
      <c r="R6" s="23">
        <f>IF($N6="","",IFERROR(INDEX(Library!$E$3:$E$2000,MATCH($N6,Library!$A$3:$A$2000,0)),"NOT FOUND"))</f>
        <v/>
      </c>
      <c r="S6" s="23">
        <f>IF($N6="","",IFERROR(INDEX(Library!$F$3:$F$2000,MATCH($N6,Library!$A$3:$A$2000,0)),"NOT FOUND"))</f>
        <v/>
      </c>
      <c r="T6" s="23">
        <f>IF($N6="","",IFERROR(INDEX(Library!$G$3:$G$2000,MATCH($N6,Library!$A$3:$A$2000,0)),"NOT FOUND"))</f>
        <v/>
      </c>
      <c r="U6" s="23">
        <f>IF($N6="","",IFERROR(INDEX(Library!$H$3:$H$2000,MATCH($N6,Library!$A$3:$A$2000,0)),"NOT FOUND"))</f>
        <v/>
      </c>
      <c r="V6" s="23">
        <f>IF($N6="","",IFERROR(INDEX(Library!$I$3:$I$2000,MATCH($N6,Library!$A$3:$A$2000,0)),"NOT FOUND"))</f>
        <v/>
      </c>
      <c r="W6" s="23">
        <f>IF($N6="","",IFERROR(INDEX(Library!$J$3:$J$2000,MATCH($N6,Library!$A$3:$A$2000,0)),"NOT FOUND"))</f>
        <v/>
      </c>
      <c r="X6" s="23">
        <f>IF($N6="","",IFERROR(INDEX(Library!$K$3:$K$2000,MATCH($N6,Library!$A$3:$A$2000,0)),"NOT FOUND"))</f>
        <v/>
      </c>
      <c r="Y6" s="23">
        <f>IF($N6="","",IFERROR(INDEX(Library!$L$3:$L$2000,MATCH($N6,Library!$A$3:$A$2000,0)),"NOT FOUND"))</f>
        <v/>
      </c>
      <c r="Z6" s="23">
        <f>IF($N6="","",IFERROR(INDEX(Library!$M$3:$M$2000,MATCH($N6,Library!$A$3:$A$2000,0)),"NOT FOUND"))</f>
        <v/>
      </c>
      <c r="AA6" s="23">
        <f>IF($N6="","",IFERROR(INDEX(Library!$N$3:$N$2000,MATCH($N6,Library!$A$3:$A$2000,0)),"NOT FOUND"))</f>
        <v/>
      </c>
      <c r="AB6" s="23">
        <f>IF($N6="","",IFERROR(INDEX(Library!$O$3:$O$2000,MATCH($N6,Library!$A$3:$A$2000,0)),"NOT FOUND"))</f>
        <v/>
      </c>
      <c r="AC6" s="24">
        <f>IF($A6="","",IFERROR($D6+$E6,""))</f>
        <v/>
      </c>
      <c r="AD6" s="24">
        <f>IF($A6="","",IFERROR($H6/$D6,""))</f>
        <v/>
      </c>
      <c r="AE6" s="24">
        <f>IF($A6="","",IFERROR($I6/$E6,""))</f>
        <v/>
      </c>
      <c r="AF6" s="24">
        <f>IF($A6="","",IFERROR(($H6+$I6)/$D6,""))</f>
        <v/>
      </c>
      <c r="AG6" s="24">
        <f>IF($A6="","",IFERROR($J6/(SETUP_CP*(SETUP_LPHWF-SETUP_LPHWR)),""))</f>
        <v/>
      </c>
      <c r="AH6" s="24">
        <f>IF($A6="","",IFERROR($K6/(SETUP_CP*(SETUP_CHWR-SETUP_CHWF)),""))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3">
        <f>IF($N7="","",IFERROR(INDEX(Library!$B$3:$B$2000,MATCH($N7,Library!$A$3:$A$2000,0)),"NOT FOUND"))</f>
        <v/>
      </c>
      <c r="P7" s="23">
        <f>IF($N7="","",IFERROR(INDEX(Library!$C$3:$C$2000,MATCH($N7,Library!$A$3:$A$2000,0)),"NOT FOUND"))</f>
        <v/>
      </c>
      <c r="Q7" s="23">
        <f>IF($N7="","",IFERROR(INDEX(Library!$D$3:$D$2000,MATCH($N7,Library!$A$3:$A$2000,0)),"NOT FOUND"))</f>
        <v/>
      </c>
      <c r="R7" s="23">
        <f>IF($N7="","",IFERROR(INDEX(Library!$E$3:$E$2000,MATCH($N7,Library!$A$3:$A$2000,0)),"NOT FOUND"))</f>
        <v/>
      </c>
      <c r="S7" s="23">
        <f>IF($N7="","",IFERROR(INDEX(Library!$F$3:$F$2000,MATCH($N7,Library!$A$3:$A$2000,0)),"NOT FOUND"))</f>
        <v/>
      </c>
      <c r="T7" s="23">
        <f>IF($N7="","",IFERROR(INDEX(Library!$G$3:$G$2000,MATCH($N7,Library!$A$3:$A$2000,0)),"NOT FOUND"))</f>
        <v/>
      </c>
      <c r="U7" s="23">
        <f>IF($N7="","",IFERROR(INDEX(Library!$H$3:$H$2000,MATCH($N7,Library!$A$3:$A$2000,0)),"NOT FOUND"))</f>
        <v/>
      </c>
      <c r="V7" s="23">
        <f>IF($N7="","",IFERROR(INDEX(Library!$I$3:$I$2000,MATCH($N7,Library!$A$3:$A$2000,0)),"NOT FOUND"))</f>
        <v/>
      </c>
      <c r="W7" s="23">
        <f>IF($N7="","",IFERROR(INDEX(Library!$J$3:$J$2000,MATCH($N7,Library!$A$3:$A$2000,0)),"NOT FOUND"))</f>
        <v/>
      </c>
      <c r="X7" s="23">
        <f>IF($N7="","",IFERROR(INDEX(Library!$K$3:$K$2000,MATCH($N7,Library!$A$3:$A$2000,0)),"NOT FOUND"))</f>
        <v/>
      </c>
      <c r="Y7" s="23">
        <f>IF($N7="","",IFERROR(INDEX(Library!$L$3:$L$2000,MATCH($N7,Library!$A$3:$A$2000,0)),"NOT FOUND"))</f>
        <v/>
      </c>
      <c r="Z7" s="23">
        <f>IF($N7="","",IFERROR(INDEX(Library!$M$3:$M$2000,MATCH($N7,Library!$A$3:$A$2000,0)),"NOT FOUND"))</f>
        <v/>
      </c>
      <c r="AA7" s="23">
        <f>IF($N7="","",IFERROR(INDEX(Library!$N$3:$N$2000,MATCH($N7,Library!$A$3:$A$2000,0)),"NOT FOUND"))</f>
        <v/>
      </c>
      <c r="AB7" s="23">
        <f>IF($N7="","",IFERROR(INDEX(Library!$O$3:$O$2000,MATCH($N7,Library!$A$3:$A$2000,0)),"NOT FOUND"))</f>
        <v/>
      </c>
      <c r="AC7" s="24">
        <f>IF($A7="","",IFERROR($D7+$E7,""))</f>
        <v/>
      </c>
      <c r="AD7" s="24">
        <f>IF($A7="","",IFERROR($H7/$D7,""))</f>
        <v/>
      </c>
      <c r="AE7" s="24">
        <f>IF($A7="","",IFERROR($I7/$E7,""))</f>
        <v/>
      </c>
      <c r="AF7" s="24">
        <f>IF($A7="","",IFERROR(($H7+$I7)/$D7,""))</f>
        <v/>
      </c>
      <c r="AG7" s="24">
        <f>IF($A7="","",IFERROR($J7/(SETUP_CP*(SETUP_LPHWF-SETUP_LPHWR)),""))</f>
        <v/>
      </c>
      <c r="AH7" s="24">
        <f>IF($A7="","",IFERROR($K7/(SETUP_CP*(SETUP_CHWR-SETUP_CHWF)),""))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3">
        <f>IF($N8="","",IFERROR(INDEX(Library!$B$3:$B$2000,MATCH($N8,Library!$A$3:$A$2000,0)),"NOT FOUND"))</f>
        <v/>
      </c>
      <c r="P8" s="23">
        <f>IF($N8="","",IFERROR(INDEX(Library!$C$3:$C$2000,MATCH($N8,Library!$A$3:$A$2000,0)),"NOT FOUND"))</f>
        <v/>
      </c>
      <c r="Q8" s="23">
        <f>IF($N8="","",IFERROR(INDEX(Library!$D$3:$D$2000,MATCH($N8,Library!$A$3:$A$2000,0)),"NOT FOUND"))</f>
        <v/>
      </c>
      <c r="R8" s="23">
        <f>IF($N8="","",IFERROR(INDEX(Library!$E$3:$E$2000,MATCH($N8,Library!$A$3:$A$2000,0)),"NOT FOUND"))</f>
        <v/>
      </c>
      <c r="S8" s="23">
        <f>IF($N8="","",IFERROR(INDEX(Library!$F$3:$F$2000,MATCH($N8,Library!$A$3:$A$2000,0)),"NOT FOUND"))</f>
        <v/>
      </c>
      <c r="T8" s="23">
        <f>IF($N8="","",IFERROR(INDEX(Library!$G$3:$G$2000,MATCH($N8,Library!$A$3:$A$2000,0)),"NOT FOUND"))</f>
        <v/>
      </c>
      <c r="U8" s="23">
        <f>IF($N8="","",IFERROR(INDEX(Library!$H$3:$H$2000,MATCH($N8,Library!$A$3:$A$2000,0)),"NOT FOUND"))</f>
        <v/>
      </c>
      <c r="V8" s="23">
        <f>IF($N8="","",IFERROR(INDEX(Library!$I$3:$I$2000,MATCH($N8,Library!$A$3:$A$2000,0)),"NOT FOUND"))</f>
        <v/>
      </c>
      <c r="W8" s="23">
        <f>IF($N8="","",IFERROR(INDEX(Library!$J$3:$J$2000,MATCH($N8,Library!$A$3:$A$2000,0)),"NOT FOUND"))</f>
        <v/>
      </c>
      <c r="X8" s="23">
        <f>IF($N8="","",IFERROR(INDEX(Library!$K$3:$K$2000,MATCH($N8,Library!$A$3:$A$2000,0)),"NOT FOUND"))</f>
        <v/>
      </c>
      <c r="Y8" s="23">
        <f>IF($N8="","",IFERROR(INDEX(Library!$L$3:$L$2000,MATCH($N8,Library!$A$3:$A$2000,0)),"NOT FOUND"))</f>
        <v/>
      </c>
      <c r="Z8" s="23">
        <f>IF($N8="","",IFERROR(INDEX(Library!$M$3:$M$2000,MATCH($N8,Library!$A$3:$A$2000,0)),"NOT FOUND"))</f>
        <v/>
      </c>
      <c r="AA8" s="23">
        <f>IF($N8="","",IFERROR(INDEX(Library!$N$3:$N$2000,MATCH($N8,Library!$A$3:$A$2000,0)),"NOT FOUND"))</f>
        <v/>
      </c>
      <c r="AB8" s="23">
        <f>IF($N8="","",IFERROR(INDEX(Library!$O$3:$O$2000,MATCH($N8,Library!$A$3:$A$2000,0)),"NOT FOUND"))</f>
        <v/>
      </c>
      <c r="AC8" s="24">
        <f>IF($A8="","",IFERROR($D8+$E8,""))</f>
        <v/>
      </c>
      <c r="AD8" s="24">
        <f>IF($A8="","",IFERROR($H8/$D8,""))</f>
        <v/>
      </c>
      <c r="AE8" s="24">
        <f>IF($A8="","",IFERROR($I8/$E8,""))</f>
        <v/>
      </c>
      <c r="AF8" s="24">
        <f>IF($A8="","",IFERROR(($H8+$I8)/$D8,""))</f>
        <v/>
      </c>
      <c r="AG8" s="24">
        <f>IF($A8="","",IFERROR($J8/(SETUP_CP*(SETUP_LPHWF-SETUP_LPHWR)),""))</f>
        <v/>
      </c>
      <c r="AH8" s="24">
        <f>IF($A8="","",IFERROR($K8/(SETUP_CP*(SETUP_CHWR-SETUP_CHWF)),""))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IF($N9="","",IFERROR(INDEX(Library!$B$3:$B$2000,MATCH($N9,Library!$A$3:$A$2000,0)),"NOT FOUND"))</f>
        <v/>
      </c>
      <c r="P9" s="23">
        <f>IF($N9="","",IFERROR(INDEX(Library!$C$3:$C$2000,MATCH($N9,Library!$A$3:$A$2000,0)),"NOT FOUND"))</f>
        <v/>
      </c>
      <c r="Q9" s="23">
        <f>IF($N9="","",IFERROR(INDEX(Library!$D$3:$D$2000,MATCH($N9,Library!$A$3:$A$2000,0)),"NOT FOUND"))</f>
        <v/>
      </c>
      <c r="R9" s="23">
        <f>IF($N9="","",IFERROR(INDEX(Library!$E$3:$E$2000,MATCH($N9,Library!$A$3:$A$2000,0)),"NOT FOUND"))</f>
        <v/>
      </c>
      <c r="S9" s="23">
        <f>IF($N9="","",IFERROR(INDEX(Library!$F$3:$F$2000,MATCH($N9,Library!$A$3:$A$2000,0)),"NOT FOUND"))</f>
        <v/>
      </c>
      <c r="T9" s="23">
        <f>IF($N9="","",IFERROR(INDEX(Library!$G$3:$G$2000,MATCH($N9,Library!$A$3:$A$2000,0)),"NOT FOUND"))</f>
        <v/>
      </c>
      <c r="U9" s="23">
        <f>IF($N9="","",IFERROR(INDEX(Library!$H$3:$H$2000,MATCH($N9,Library!$A$3:$A$2000,0)),"NOT FOUND"))</f>
        <v/>
      </c>
      <c r="V9" s="23">
        <f>IF($N9="","",IFERROR(INDEX(Library!$I$3:$I$2000,MATCH($N9,Library!$A$3:$A$2000,0)),"NOT FOUND"))</f>
        <v/>
      </c>
      <c r="W9" s="23">
        <f>IF($N9="","",IFERROR(INDEX(Library!$J$3:$J$2000,MATCH($N9,Library!$A$3:$A$2000,0)),"NOT FOUND"))</f>
        <v/>
      </c>
      <c r="X9" s="23">
        <f>IF($N9="","",IFERROR(INDEX(Library!$K$3:$K$2000,MATCH($N9,Library!$A$3:$A$2000,0)),"NOT FOUND"))</f>
        <v/>
      </c>
      <c r="Y9" s="23">
        <f>IF($N9="","",IFERROR(INDEX(Library!$L$3:$L$2000,MATCH($N9,Library!$A$3:$A$2000,0)),"NOT FOUND"))</f>
        <v/>
      </c>
      <c r="Z9" s="23">
        <f>IF($N9="","",IFERROR(INDEX(Library!$M$3:$M$2000,MATCH($N9,Library!$A$3:$A$2000,0)),"NOT FOUND"))</f>
        <v/>
      </c>
      <c r="AA9" s="23">
        <f>IF($N9="","",IFERROR(INDEX(Library!$N$3:$N$2000,MATCH($N9,Library!$A$3:$A$2000,0)),"NOT FOUND"))</f>
        <v/>
      </c>
      <c r="AB9" s="23">
        <f>IF($N9="","",IFERROR(INDEX(Library!$O$3:$O$2000,MATCH($N9,Library!$A$3:$A$2000,0)),"NOT FOUND"))</f>
        <v/>
      </c>
      <c r="AC9" s="24">
        <f>IF($A9="","",IFERROR($D9+$E9,""))</f>
        <v/>
      </c>
      <c r="AD9" s="24">
        <f>IF($A9="","",IFERROR($H9/$D9,""))</f>
        <v/>
      </c>
      <c r="AE9" s="24">
        <f>IF($A9="","",IFERROR($I9/$E9,""))</f>
        <v/>
      </c>
      <c r="AF9" s="24">
        <f>IF($A9="","",IFERROR(($H9+$I9)/$D9,""))</f>
        <v/>
      </c>
      <c r="AG9" s="24">
        <f>IF($A9="","",IFERROR($J9/(SETUP_CP*(SETUP_LPHWF-SETUP_LPHWR)),""))</f>
        <v/>
      </c>
      <c r="AH9" s="24">
        <f>IF($A9="","",IFERROR($K9/(SETUP_CP*(SETUP_CHWR-SETUP_CHWF)),""))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IF($N10="","",IFERROR(INDEX(Library!$B$3:$B$2000,MATCH($N10,Library!$A$3:$A$2000,0)),"NOT FOUND"))</f>
        <v/>
      </c>
      <c r="P10" s="23">
        <f>IF($N10="","",IFERROR(INDEX(Library!$C$3:$C$2000,MATCH($N10,Library!$A$3:$A$2000,0)),"NOT FOUND"))</f>
        <v/>
      </c>
      <c r="Q10" s="23">
        <f>IF($N10="","",IFERROR(INDEX(Library!$D$3:$D$2000,MATCH($N10,Library!$A$3:$A$2000,0)),"NOT FOUND"))</f>
        <v/>
      </c>
      <c r="R10" s="23">
        <f>IF($N10="","",IFERROR(INDEX(Library!$E$3:$E$2000,MATCH($N10,Library!$A$3:$A$2000,0)),"NOT FOUND"))</f>
        <v/>
      </c>
      <c r="S10" s="23">
        <f>IF($N10="","",IFERROR(INDEX(Library!$F$3:$F$2000,MATCH($N10,Library!$A$3:$A$2000,0)),"NOT FOUND"))</f>
        <v/>
      </c>
      <c r="T10" s="23">
        <f>IF($N10="","",IFERROR(INDEX(Library!$G$3:$G$2000,MATCH($N10,Library!$A$3:$A$2000,0)),"NOT FOUND"))</f>
        <v/>
      </c>
      <c r="U10" s="23">
        <f>IF($N10="","",IFERROR(INDEX(Library!$H$3:$H$2000,MATCH($N10,Library!$A$3:$A$2000,0)),"NOT FOUND"))</f>
        <v/>
      </c>
      <c r="V10" s="23">
        <f>IF($N10="","",IFERROR(INDEX(Library!$I$3:$I$2000,MATCH($N10,Library!$A$3:$A$2000,0)),"NOT FOUND"))</f>
        <v/>
      </c>
      <c r="W10" s="23">
        <f>IF($N10="","",IFERROR(INDEX(Library!$J$3:$J$2000,MATCH($N10,Library!$A$3:$A$2000,0)),"NOT FOUND"))</f>
        <v/>
      </c>
      <c r="X10" s="23">
        <f>IF($N10="","",IFERROR(INDEX(Library!$K$3:$K$2000,MATCH($N10,Library!$A$3:$A$2000,0)),"NOT FOUND"))</f>
        <v/>
      </c>
      <c r="Y10" s="23">
        <f>IF($N10="","",IFERROR(INDEX(Library!$L$3:$L$2000,MATCH($N10,Library!$A$3:$A$2000,0)),"NOT FOUND"))</f>
        <v/>
      </c>
      <c r="Z10" s="23">
        <f>IF($N10="","",IFERROR(INDEX(Library!$M$3:$M$2000,MATCH($N10,Library!$A$3:$A$2000,0)),"NOT FOUND"))</f>
        <v/>
      </c>
      <c r="AA10" s="23">
        <f>IF($N10="","",IFERROR(INDEX(Library!$N$3:$N$2000,MATCH($N10,Library!$A$3:$A$2000,0)),"NOT FOUND"))</f>
        <v/>
      </c>
      <c r="AB10" s="23">
        <f>IF($N10="","",IFERROR(INDEX(Library!$O$3:$O$2000,MATCH($N10,Library!$A$3:$A$2000,0)),"NOT FOUND"))</f>
        <v/>
      </c>
      <c r="AC10" s="24">
        <f>IF($A10="","",IFERROR($D10+$E10,""))</f>
        <v/>
      </c>
      <c r="AD10" s="24">
        <f>IF($A10="","",IFERROR($H10/$D10,""))</f>
        <v/>
      </c>
      <c r="AE10" s="24">
        <f>IF($A10="","",IFERROR($I10/$E10,""))</f>
        <v/>
      </c>
      <c r="AF10" s="24">
        <f>IF($A10="","",IFERROR(($H10+$I10)/$D10,""))</f>
        <v/>
      </c>
      <c r="AG10" s="24">
        <f>IF($A10="","",IFERROR($J10/(SETUP_CP*(SETUP_LPHWF-SETUP_LPHWR)),""))</f>
        <v/>
      </c>
      <c r="AH10" s="24">
        <f>IF($A10="","",IFERROR($K10/(SETUP_CP*(SETUP_CHWR-SETUP_CHWF)),""))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IF($N11="","",IFERROR(INDEX(Library!$B$3:$B$2000,MATCH($N11,Library!$A$3:$A$2000,0)),"NOT FOUND"))</f>
        <v/>
      </c>
      <c r="P11" s="23">
        <f>IF($N11="","",IFERROR(INDEX(Library!$C$3:$C$2000,MATCH($N11,Library!$A$3:$A$2000,0)),"NOT FOUND"))</f>
        <v/>
      </c>
      <c r="Q11" s="23">
        <f>IF($N11="","",IFERROR(INDEX(Library!$D$3:$D$2000,MATCH($N11,Library!$A$3:$A$2000,0)),"NOT FOUND"))</f>
        <v/>
      </c>
      <c r="R11" s="23">
        <f>IF($N11="","",IFERROR(INDEX(Library!$E$3:$E$2000,MATCH($N11,Library!$A$3:$A$2000,0)),"NOT FOUND"))</f>
        <v/>
      </c>
      <c r="S11" s="23">
        <f>IF($N11="","",IFERROR(INDEX(Library!$F$3:$F$2000,MATCH($N11,Library!$A$3:$A$2000,0)),"NOT FOUND"))</f>
        <v/>
      </c>
      <c r="T11" s="23">
        <f>IF($N11="","",IFERROR(INDEX(Library!$G$3:$G$2000,MATCH($N11,Library!$A$3:$A$2000,0)),"NOT FOUND"))</f>
        <v/>
      </c>
      <c r="U11" s="23">
        <f>IF($N11="","",IFERROR(INDEX(Library!$H$3:$H$2000,MATCH($N11,Library!$A$3:$A$2000,0)),"NOT FOUND"))</f>
        <v/>
      </c>
      <c r="V11" s="23">
        <f>IF($N11="","",IFERROR(INDEX(Library!$I$3:$I$2000,MATCH($N11,Library!$A$3:$A$2000,0)),"NOT FOUND"))</f>
        <v/>
      </c>
      <c r="W11" s="23">
        <f>IF($N11="","",IFERROR(INDEX(Library!$J$3:$J$2000,MATCH($N11,Library!$A$3:$A$2000,0)),"NOT FOUND"))</f>
        <v/>
      </c>
      <c r="X11" s="23">
        <f>IF($N11="","",IFERROR(INDEX(Library!$K$3:$K$2000,MATCH($N11,Library!$A$3:$A$2000,0)),"NOT FOUND"))</f>
        <v/>
      </c>
      <c r="Y11" s="23">
        <f>IF($N11="","",IFERROR(INDEX(Library!$L$3:$L$2000,MATCH($N11,Library!$A$3:$A$2000,0)),"NOT FOUND"))</f>
        <v/>
      </c>
      <c r="Z11" s="23">
        <f>IF($N11="","",IFERROR(INDEX(Library!$M$3:$M$2000,MATCH($N11,Library!$A$3:$A$2000,0)),"NOT FOUND"))</f>
        <v/>
      </c>
      <c r="AA11" s="23">
        <f>IF($N11="","",IFERROR(INDEX(Library!$N$3:$N$2000,MATCH($N11,Library!$A$3:$A$2000,0)),"NOT FOUND"))</f>
        <v/>
      </c>
      <c r="AB11" s="23">
        <f>IF($N11="","",IFERROR(INDEX(Library!$O$3:$O$2000,MATCH($N11,Library!$A$3:$A$2000,0)),"NOT FOUND"))</f>
        <v/>
      </c>
      <c r="AC11" s="24">
        <f>IF($A11="","",IFERROR($D11+$E11,""))</f>
        <v/>
      </c>
      <c r="AD11" s="24">
        <f>IF($A11="","",IFERROR($H11/$D11,""))</f>
        <v/>
      </c>
      <c r="AE11" s="24">
        <f>IF($A11="","",IFERROR($I11/$E11,""))</f>
        <v/>
      </c>
      <c r="AF11" s="24">
        <f>IF($A11="","",IFERROR(($H11+$I11)/$D11,""))</f>
        <v/>
      </c>
      <c r="AG11" s="24">
        <f>IF($A11="","",IFERROR($J11/(SETUP_CP*(SETUP_LPHWF-SETUP_LPHWR)),""))</f>
        <v/>
      </c>
      <c r="AH11" s="24">
        <f>IF($A11="","",IFERROR($K11/(SETUP_CP*(SETUP_CHWR-SETUP_CHWF)),""))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IF($N12="","",IFERROR(INDEX(Library!$B$3:$B$2000,MATCH($N12,Library!$A$3:$A$2000,0)),"NOT FOUND"))</f>
        <v/>
      </c>
      <c r="P12" s="23">
        <f>IF($N12="","",IFERROR(INDEX(Library!$C$3:$C$2000,MATCH($N12,Library!$A$3:$A$2000,0)),"NOT FOUND"))</f>
        <v/>
      </c>
      <c r="Q12" s="23">
        <f>IF($N12="","",IFERROR(INDEX(Library!$D$3:$D$2000,MATCH($N12,Library!$A$3:$A$2000,0)),"NOT FOUND"))</f>
        <v/>
      </c>
      <c r="R12" s="23">
        <f>IF($N12="","",IFERROR(INDEX(Library!$E$3:$E$2000,MATCH($N12,Library!$A$3:$A$2000,0)),"NOT FOUND"))</f>
        <v/>
      </c>
      <c r="S12" s="23">
        <f>IF($N12="","",IFERROR(INDEX(Library!$F$3:$F$2000,MATCH($N12,Library!$A$3:$A$2000,0)),"NOT FOUND"))</f>
        <v/>
      </c>
      <c r="T12" s="23">
        <f>IF($N12="","",IFERROR(INDEX(Library!$G$3:$G$2000,MATCH($N12,Library!$A$3:$A$2000,0)),"NOT FOUND"))</f>
        <v/>
      </c>
      <c r="U12" s="23">
        <f>IF($N12="","",IFERROR(INDEX(Library!$H$3:$H$2000,MATCH($N12,Library!$A$3:$A$2000,0)),"NOT FOUND"))</f>
        <v/>
      </c>
      <c r="V12" s="23">
        <f>IF($N12="","",IFERROR(INDEX(Library!$I$3:$I$2000,MATCH($N12,Library!$A$3:$A$2000,0)),"NOT FOUND"))</f>
        <v/>
      </c>
      <c r="W12" s="23">
        <f>IF($N12="","",IFERROR(INDEX(Library!$J$3:$J$2000,MATCH($N12,Library!$A$3:$A$2000,0)),"NOT FOUND"))</f>
        <v/>
      </c>
      <c r="X12" s="23">
        <f>IF($N12="","",IFERROR(INDEX(Library!$K$3:$K$2000,MATCH($N12,Library!$A$3:$A$2000,0)),"NOT FOUND"))</f>
        <v/>
      </c>
      <c r="Y12" s="23">
        <f>IF($N12="","",IFERROR(INDEX(Library!$L$3:$L$2000,MATCH($N12,Library!$A$3:$A$2000,0)),"NOT FOUND"))</f>
        <v/>
      </c>
      <c r="Z12" s="23">
        <f>IF($N12="","",IFERROR(INDEX(Library!$M$3:$M$2000,MATCH($N12,Library!$A$3:$A$2000,0)),"NOT FOUND"))</f>
        <v/>
      </c>
      <c r="AA12" s="23">
        <f>IF($N12="","",IFERROR(INDEX(Library!$N$3:$N$2000,MATCH($N12,Library!$A$3:$A$2000,0)),"NOT FOUND"))</f>
        <v/>
      </c>
      <c r="AB12" s="23">
        <f>IF($N12="","",IFERROR(INDEX(Library!$O$3:$O$2000,MATCH($N12,Library!$A$3:$A$2000,0)),"NOT FOUND"))</f>
        <v/>
      </c>
      <c r="AC12" s="24">
        <f>IF($A12="","",IFERROR($D12+$E12,""))</f>
        <v/>
      </c>
      <c r="AD12" s="24">
        <f>IF($A12="","",IFERROR($H12/$D12,""))</f>
        <v/>
      </c>
      <c r="AE12" s="24">
        <f>IF($A12="","",IFERROR($I12/$E12,""))</f>
        <v/>
      </c>
      <c r="AF12" s="24">
        <f>IF($A12="","",IFERROR(($H12+$I12)/$D12,""))</f>
        <v/>
      </c>
      <c r="AG12" s="24">
        <f>IF($A12="","",IFERROR($J12/(SETUP_CP*(SETUP_LPHWF-SETUP_LPHWR)),""))</f>
        <v/>
      </c>
      <c r="AH12" s="24">
        <f>IF($A12="","",IFERROR($K12/(SETUP_CP*(SETUP_CHWR-SETUP_CHWF)),""))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IF($N13="","",IFERROR(INDEX(Library!$B$3:$B$2000,MATCH($N13,Library!$A$3:$A$2000,0)),"NOT FOUND"))</f>
        <v/>
      </c>
      <c r="P13" s="23">
        <f>IF($N13="","",IFERROR(INDEX(Library!$C$3:$C$2000,MATCH($N13,Library!$A$3:$A$2000,0)),"NOT FOUND"))</f>
        <v/>
      </c>
      <c r="Q13" s="23">
        <f>IF($N13="","",IFERROR(INDEX(Library!$D$3:$D$2000,MATCH($N13,Library!$A$3:$A$2000,0)),"NOT FOUND"))</f>
        <v/>
      </c>
      <c r="R13" s="23">
        <f>IF($N13="","",IFERROR(INDEX(Library!$E$3:$E$2000,MATCH($N13,Library!$A$3:$A$2000,0)),"NOT FOUND"))</f>
        <v/>
      </c>
      <c r="S13" s="23">
        <f>IF($N13="","",IFERROR(INDEX(Library!$F$3:$F$2000,MATCH($N13,Library!$A$3:$A$2000,0)),"NOT FOUND"))</f>
        <v/>
      </c>
      <c r="T13" s="23">
        <f>IF($N13="","",IFERROR(INDEX(Library!$G$3:$G$2000,MATCH($N13,Library!$A$3:$A$2000,0)),"NOT FOUND"))</f>
        <v/>
      </c>
      <c r="U13" s="23">
        <f>IF($N13="","",IFERROR(INDEX(Library!$H$3:$H$2000,MATCH($N13,Library!$A$3:$A$2000,0)),"NOT FOUND"))</f>
        <v/>
      </c>
      <c r="V13" s="23">
        <f>IF($N13="","",IFERROR(INDEX(Library!$I$3:$I$2000,MATCH($N13,Library!$A$3:$A$2000,0)),"NOT FOUND"))</f>
        <v/>
      </c>
      <c r="W13" s="23">
        <f>IF($N13="","",IFERROR(INDEX(Library!$J$3:$J$2000,MATCH($N13,Library!$A$3:$A$2000,0)),"NOT FOUND"))</f>
        <v/>
      </c>
      <c r="X13" s="23">
        <f>IF($N13="","",IFERROR(INDEX(Library!$K$3:$K$2000,MATCH($N13,Library!$A$3:$A$2000,0)),"NOT FOUND"))</f>
        <v/>
      </c>
      <c r="Y13" s="23">
        <f>IF($N13="","",IFERROR(INDEX(Library!$L$3:$L$2000,MATCH($N13,Library!$A$3:$A$2000,0)),"NOT FOUND"))</f>
        <v/>
      </c>
      <c r="Z13" s="23">
        <f>IF($N13="","",IFERROR(INDEX(Library!$M$3:$M$2000,MATCH($N13,Library!$A$3:$A$2000,0)),"NOT FOUND"))</f>
        <v/>
      </c>
      <c r="AA13" s="23">
        <f>IF($N13="","",IFERROR(INDEX(Library!$N$3:$N$2000,MATCH($N13,Library!$A$3:$A$2000,0)),"NOT FOUND"))</f>
        <v/>
      </c>
      <c r="AB13" s="23">
        <f>IF($N13="","",IFERROR(INDEX(Library!$O$3:$O$2000,MATCH($N13,Library!$A$3:$A$2000,0)),"NOT FOUND"))</f>
        <v/>
      </c>
      <c r="AC13" s="24">
        <f>IF($A13="","",IFERROR($D13+$E13,""))</f>
        <v/>
      </c>
      <c r="AD13" s="24">
        <f>IF($A13="","",IFERROR($H13/$D13,""))</f>
        <v/>
      </c>
      <c r="AE13" s="24">
        <f>IF($A13="","",IFERROR($I13/$E13,""))</f>
        <v/>
      </c>
      <c r="AF13" s="24">
        <f>IF($A13="","",IFERROR(($H13+$I13)/$D13,""))</f>
        <v/>
      </c>
      <c r="AG13" s="24">
        <f>IF($A13="","",IFERROR($J13/(SETUP_CP*(SETUP_LPHWF-SETUP_LPHWR)),""))</f>
        <v/>
      </c>
      <c r="AH13" s="24">
        <f>IF($A13="","",IFERROR($K13/(SETUP_CP*(SETUP_CHWR-SETUP_CHWF)),""))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IF($N14="","",IFERROR(INDEX(Library!$B$3:$B$2000,MATCH($N14,Library!$A$3:$A$2000,0)),"NOT FOUND"))</f>
        <v/>
      </c>
      <c r="P14" s="23">
        <f>IF($N14="","",IFERROR(INDEX(Library!$C$3:$C$2000,MATCH($N14,Library!$A$3:$A$2000,0)),"NOT FOUND"))</f>
        <v/>
      </c>
      <c r="Q14" s="23">
        <f>IF($N14="","",IFERROR(INDEX(Library!$D$3:$D$2000,MATCH($N14,Library!$A$3:$A$2000,0)),"NOT FOUND"))</f>
        <v/>
      </c>
      <c r="R14" s="23">
        <f>IF($N14="","",IFERROR(INDEX(Library!$E$3:$E$2000,MATCH($N14,Library!$A$3:$A$2000,0)),"NOT FOUND"))</f>
        <v/>
      </c>
      <c r="S14" s="23">
        <f>IF($N14="","",IFERROR(INDEX(Library!$F$3:$F$2000,MATCH($N14,Library!$A$3:$A$2000,0)),"NOT FOUND"))</f>
        <v/>
      </c>
      <c r="T14" s="23">
        <f>IF($N14="","",IFERROR(INDEX(Library!$G$3:$G$2000,MATCH($N14,Library!$A$3:$A$2000,0)),"NOT FOUND"))</f>
        <v/>
      </c>
      <c r="U14" s="23">
        <f>IF($N14="","",IFERROR(INDEX(Library!$H$3:$H$2000,MATCH($N14,Library!$A$3:$A$2000,0)),"NOT FOUND"))</f>
        <v/>
      </c>
      <c r="V14" s="23">
        <f>IF($N14="","",IFERROR(INDEX(Library!$I$3:$I$2000,MATCH($N14,Library!$A$3:$A$2000,0)),"NOT FOUND"))</f>
        <v/>
      </c>
      <c r="W14" s="23">
        <f>IF($N14="","",IFERROR(INDEX(Library!$J$3:$J$2000,MATCH($N14,Library!$A$3:$A$2000,0)),"NOT FOUND"))</f>
        <v/>
      </c>
      <c r="X14" s="23">
        <f>IF($N14="","",IFERROR(INDEX(Library!$K$3:$K$2000,MATCH($N14,Library!$A$3:$A$2000,0)),"NOT FOUND"))</f>
        <v/>
      </c>
      <c r="Y14" s="23">
        <f>IF($N14="","",IFERROR(INDEX(Library!$L$3:$L$2000,MATCH($N14,Library!$A$3:$A$2000,0)),"NOT FOUND"))</f>
        <v/>
      </c>
      <c r="Z14" s="23">
        <f>IF($N14="","",IFERROR(INDEX(Library!$M$3:$M$2000,MATCH($N14,Library!$A$3:$A$2000,0)),"NOT FOUND"))</f>
        <v/>
      </c>
      <c r="AA14" s="23">
        <f>IF($N14="","",IFERROR(INDEX(Library!$N$3:$N$2000,MATCH($N14,Library!$A$3:$A$2000,0)),"NOT FOUND"))</f>
        <v/>
      </c>
      <c r="AB14" s="23">
        <f>IF($N14="","",IFERROR(INDEX(Library!$O$3:$O$2000,MATCH($N14,Library!$A$3:$A$2000,0)),"NOT FOUND"))</f>
        <v/>
      </c>
      <c r="AC14" s="24">
        <f>IF($A14="","",IFERROR($D14+$E14,""))</f>
        <v/>
      </c>
      <c r="AD14" s="24">
        <f>IF($A14="","",IFERROR($H14/$D14,""))</f>
        <v/>
      </c>
      <c r="AE14" s="24">
        <f>IF($A14="","",IFERROR($I14/$E14,""))</f>
        <v/>
      </c>
      <c r="AF14" s="24">
        <f>IF($A14="","",IFERROR(($H14+$I14)/$D14,""))</f>
        <v/>
      </c>
      <c r="AG14" s="24">
        <f>IF($A14="","",IFERROR($J14/(SETUP_CP*(SETUP_LPHWF-SETUP_LPHWR)),""))</f>
        <v/>
      </c>
      <c r="AH14" s="24">
        <f>IF($A14="","",IFERROR($K14/(SETUP_CP*(SETUP_CHWR-SETUP_CHWF)),""))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IF($N15="","",IFERROR(INDEX(Library!$B$3:$B$2000,MATCH($N15,Library!$A$3:$A$2000,0)),"NOT FOUND"))</f>
        <v/>
      </c>
      <c r="P15" s="23">
        <f>IF($N15="","",IFERROR(INDEX(Library!$C$3:$C$2000,MATCH($N15,Library!$A$3:$A$2000,0)),"NOT FOUND"))</f>
        <v/>
      </c>
      <c r="Q15" s="23">
        <f>IF($N15="","",IFERROR(INDEX(Library!$D$3:$D$2000,MATCH($N15,Library!$A$3:$A$2000,0)),"NOT FOUND"))</f>
        <v/>
      </c>
      <c r="R15" s="23">
        <f>IF($N15="","",IFERROR(INDEX(Library!$E$3:$E$2000,MATCH($N15,Library!$A$3:$A$2000,0)),"NOT FOUND"))</f>
        <v/>
      </c>
      <c r="S15" s="23">
        <f>IF($N15="","",IFERROR(INDEX(Library!$F$3:$F$2000,MATCH($N15,Library!$A$3:$A$2000,0)),"NOT FOUND"))</f>
        <v/>
      </c>
      <c r="T15" s="23">
        <f>IF($N15="","",IFERROR(INDEX(Library!$G$3:$G$2000,MATCH($N15,Library!$A$3:$A$2000,0)),"NOT FOUND"))</f>
        <v/>
      </c>
      <c r="U15" s="23">
        <f>IF($N15="","",IFERROR(INDEX(Library!$H$3:$H$2000,MATCH($N15,Library!$A$3:$A$2000,0)),"NOT FOUND"))</f>
        <v/>
      </c>
      <c r="V15" s="23">
        <f>IF($N15="","",IFERROR(INDEX(Library!$I$3:$I$2000,MATCH($N15,Library!$A$3:$A$2000,0)),"NOT FOUND"))</f>
        <v/>
      </c>
      <c r="W15" s="23">
        <f>IF($N15="","",IFERROR(INDEX(Library!$J$3:$J$2000,MATCH($N15,Library!$A$3:$A$2000,0)),"NOT FOUND"))</f>
        <v/>
      </c>
      <c r="X15" s="23">
        <f>IF($N15="","",IFERROR(INDEX(Library!$K$3:$K$2000,MATCH($N15,Library!$A$3:$A$2000,0)),"NOT FOUND"))</f>
        <v/>
      </c>
      <c r="Y15" s="23">
        <f>IF($N15="","",IFERROR(INDEX(Library!$L$3:$L$2000,MATCH($N15,Library!$A$3:$A$2000,0)),"NOT FOUND"))</f>
        <v/>
      </c>
      <c r="Z15" s="23">
        <f>IF($N15="","",IFERROR(INDEX(Library!$M$3:$M$2000,MATCH($N15,Library!$A$3:$A$2000,0)),"NOT FOUND"))</f>
        <v/>
      </c>
      <c r="AA15" s="23">
        <f>IF($N15="","",IFERROR(INDEX(Library!$N$3:$N$2000,MATCH($N15,Library!$A$3:$A$2000,0)),"NOT FOUND"))</f>
        <v/>
      </c>
      <c r="AB15" s="23">
        <f>IF($N15="","",IFERROR(INDEX(Library!$O$3:$O$2000,MATCH($N15,Library!$A$3:$A$2000,0)),"NOT FOUND"))</f>
        <v/>
      </c>
      <c r="AC15" s="24">
        <f>IF($A15="","",IFERROR($D15+$E15,""))</f>
        <v/>
      </c>
      <c r="AD15" s="24">
        <f>IF($A15="","",IFERROR($H15/$D15,""))</f>
        <v/>
      </c>
      <c r="AE15" s="24">
        <f>IF($A15="","",IFERROR($I15/$E15,""))</f>
        <v/>
      </c>
      <c r="AF15" s="24">
        <f>IF($A15="","",IFERROR(($H15+$I15)/$D15,""))</f>
        <v/>
      </c>
      <c r="AG15" s="24">
        <f>IF($A15="","",IFERROR($J15/(SETUP_CP*(SETUP_LPHWF-SETUP_LPHWR)),""))</f>
        <v/>
      </c>
      <c r="AH15" s="24">
        <f>IF($A15="","",IFERROR($K15/(SETUP_CP*(SETUP_CHWR-SETUP_CHWF)),""))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IF($N16="","",IFERROR(INDEX(Library!$B$3:$B$2000,MATCH($N16,Library!$A$3:$A$2000,0)),"NOT FOUND"))</f>
        <v/>
      </c>
      <c r="P16" s="23">
        <f>IF($N16="","",IFERROR(INDEX(Library!$C$3:$C$2000,MATCH($N16,Library!$A$3:$A$2000,0)),"NOT FOUND"))</f>
        <v/>
      </c>
      <c r="Q16" s="23">
        <f>IF($N16="","",IFERROR(INDEX(Library!$D$3:$D$2000,MATCH($N16,Library!$A$3:$A$2000,0)),"NOT FOUND"))</f>
        <v/>
      </c>
      <c r="R16" s="23">
        <f>IF($N16="","",IFERROR(INDEX(Library!$E$3:$E$2000,MATCH($N16,Library!$A$3:$A$2000,0)),"NOT FOUND"))</f>
        <v/>
      </c>
      <c r="S16" s="23">
        <f>IF($N16="","",IFERROR(INDEX(Library!$F$3:$F$2000,MATCH($N16,Library!$A$3:$A$2000,0)),"NOT FOUND"))</f>
        <v/>
      </c>
      <c r="T16" s="23">
        <f>IF($N16="","",IFERROR(INDEX(Library!$G$3:$G$2000,MATCH($N16,Library!$A$3:$A$2000,0)),"NOT FOUND"))</f>
        <v/>
      </c>
      <c r="U16" s="23">
        <f>IF($N16="","",IFERROR(INDEX(Library!$H$3:$H$2000,MATCH($N16,Library!$A$3:$A$2000,0)),"NOT FOUND"))</f>
        <v/>
      </c>
      <c r="V16" s="23">
        <f>IF($N16="","",IFERROR(INDEX(Library!$I$3:$I$2000,MATCH($N16,Library!$A$3:$A$2000,0)),"NOT FOUND"))</f>
        <v/>
      </c>
      <c r="W16" s="23">
        <f>IF($N16="","",IFERROR(INDEX(Library!$J$3:$J$2000,MATCH($N16,Library!$A$3:$A$2000,0)),"NOT FOUND"))</f>
        <v/>
      </c>
      <c r="X16" s="23">
        <f>IF($N16="","",IFERROR(INDEX(Library!$K$3:$K$2000,MATCH($N16,Library!$A$3:$A$2000,0)),"NOT FOUND"))</f>
        <v/>
      </c>
      <c r="Y16" s="23">
        <f>IF($N16="","",IFERROR(INDEX(Library!$L$3:$L$2000,MATCH($N16,Library!$A$3:$A$2000,0)),"NOT FOUND"))</f>
        <v/>
      </c>
      <c r="Z16" s="23">
        <f>IF($N16="","",IFERROR(INDEX(Library!$M$3:$M$2000,MATCH($N16,Library!$A$3:$A$2000,0)),"NOT FOUND"))</f>
        <v/>
      </c>
      <c r="AA16" s="23">
        <f>IF($N16="","",IFERROR(INDEX(Library!$N$3:$N$2000,MATCH($N16,Library!$A$3:$A$2000,0)),"NOT FOUND"))</f>
        <v/>
      </c>
      <c r="AB16" s="23">
        <f>IF($N16="","",IFERROR(INDEX(Library!$O$3:$O$2000,MATCH($N16,Library!$A$3:$A$2000,0)),"NOT FOUND"))</f>
        <v/>
      </c>
      <c r="AC16" s="24">
        <f>IF($A16="","",IFERROR($D16+$E16,""))</f>
        <v/>
      </c>
      <c r="AD16" s="24">
        <f>IF($A16="","",IFERROR($H16/$D16,""))</f>
        <v/>
      </c>
      <c r="AE16" s="24">
        <f>IF($A16="","",IFERROR($I16/$E16,""))</f>
        <v/>
      </c>
      <c r="AF16" s="24">
        <f>IF($A16="","",IFERROR(($H16+$I16)/$D16,""))</f>
        <v/>
      </c>
      <c r="AG16" s="24">
        <f>IF($A16="","",IFERROR($J16/(SETUP_CP*(SETUP_LPHWF-SETUP_LPHWR)),""))</f>
        <v/>
      </c>
      <c r="AH16" s="24">
        <f>IF($A16="","",IFERROR($K16/(SETUP_CP*(SETUP_CHWR-SETUP_CHWF)),""))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IF($N17="","",IFERROR(INDEX(Library!$B$3:$B$2000,MATCH($N17,Library!$A$3:$A$2000,0)),"NOT FOUND"))</f>
        <v/>
      </c>
      <c r="P17" s="23">
        <f>IF($N17="","",IFERROR(INDEX(Library!$C$3:$C$2000,MATCH($N17,Library!$A$3:$A$2000,0)),"NOT FOUND"))</f>
        <v/>
      </c>
      <c r="Q17" s="23">
        <f>IF($N17="","",IFERROR(INDEX(Library!$D$3:$D$2000,MATCH($N17,Library!$A$3:$A$2000,0)),"NOT FOUND"))</f>
        <v/>
      </c>
      <c r="R17" s="23">
        <f>IF($N17="","",IFERROR(INDEX(Library!$E$3:$E$2000,MATCH($N17,Library!$A$3:$A$2000,0)),"NOT FOUND"))</f>
        <v/>
      </c>
      <c r="S17" s="23">
        <f>IF($N17="","",IFERROR(INDEX(Library!$F$3:$F$2000,MATCH($N17,Library!$A$3:$A$2000,0)),"NOT FOUND"))</f>
        <v/>
      </c>
      <c r="T17" s="23">
        <f>IF($N17="","",IFERROR(INDEX(Library!$G$3:$G$2000,MATCH($N17,Library!$A$3:$A$2000,0)),"NOT FOUND"))</f>
        <v/>
      </c>
      <c r="U17" s="23">
        <f>IF($N17="","",IFERROR(INDEX(Library!$H$3:$H$2000,MATCH($N17,Library!$A$3:$A$2000,0)),"NOT FOUND"))</f>
        <v/>
      </c>
      <c r="V17" s="23">
        <f>IF($N17="","",IFERROR(INDEX(Library!$I$3:$I$2000,MATCH($N17,Library!$A$3:$A$2000,0)),"NOT FOUND"))</f>
        <v/>
      </c>
      <c r="W17" s="23">
        <f>IF($N17="","",IFERROR(INDEX(Library!$J$3:$J$2000,MATCH($N17,Library!$A$3:$A$2000,0)),"NOT FOUND"))</f>
        <v/>
      </c>
      <c r="X17" s="23">
        <f>IF($N17="","",IFERROR(INDEX(Library!$K$3:$K$2000,MATCH($N17,Library!$A$3:$A$2000,0)),"NOT FOUND"))</f>
        <v/>
      </c>
      <c r="Y17" s="23">
        <f>IF($N17="","",IFERROR(INDEX(Library!$L$3:$L$2000,MATCH($N17,Library!$A$3:$A$2000,0)),"NOT FOUND"))</f>
        <v/>
      </c>
      <c r="Z17" s="23">
        <f>IF($N17="","",IFERROR(INDEX(Library!$M$3:$M$2000,MATCH($N17,Library!$A$3:$A$2000,0)),"NOT FOUND"))</f>
        <v/>
      </c>
      <c r="AA17" s="23">
        <f>IF($N17="","",IFERROR(INDEX(Library!$N$3:$N$2000,MATCH($N17,Library!$A$3:$A$2000,0)),"NOT FOUND"))</f>
        <v/>
      </c>
      <c r="AB17" s="23">
        <f>IF($N17="","",IFERROR(INDEX(Library!$O$3:$O$2000,MATCH($N17,Library!$A$3:$A$2000,0)),"NOT FOUND"))</f>
        <v/>
      </c>
      <c r="AC17" s="24">
        <f>IF($A17="","",IFERROR($D17+$E17,""))</f>
        <v/>
      </c>
      <c r="AD17" s="24">
        <f>IF($A17="","",IFERROR($H17/$D17,""))</f>
        <v/>
      </c>
      <c r="AE17" s="24">
        <f>IF($A17="","",IFERROR($I17/$E17,""))</f>
        <v/>
      </c>
      <c r="AF17" s="24">
        <f>IF($A17="","",IFERROR(($H17+$I17)/$D17,""))</f>
        <v/>
      </c>
      <c r="AG17" s="24">
        <f>IF($A17="","",IFERROR($J17/(SETUP_CP*(SETUP_LPHWF-SETUP_LPHWR)),""))</f>
        <v/>
      </c>
      <c r="AH17" s="24">
        <f>IF($A17="","",IFERROR($K17/(SETUP_CP*(SETUP_CHWR-SETUP_CHWF)),""))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IF($N18="","",IFERROR(INDEX(Library!$B$3:$B$2000,MATCH($N18,Library!$A$3:$A$2000,0)),"NOT FOUND"))</f>
        <v/>
      </c>
      <c r="P18" s="23">
        <f>IF($N18="","",IFERROR(INDEX(Library!$C$3:$C$2000,MATCH($N18,Library!$A$3:$A$2000,0)),"NOT FOUND"))</f>
        <v/>
      </c>
      <c r="Q18" s="23">
        <f>IF($N18="","",IFERROR(INDEX(Library!$D$3:$D$2000,MATCH($N18,Library!$A$3:$A$2000,0)),"NOT FOUND"))</f>
        <v/>
      </c>
      <c r="R18" s="23">
        <f>IF($N18="","",IFERROR(INDEX(Library!$E$3:$E$2000,MATCH($N18,Library!$A$3:$A$2000,0)),"NOT FOUND"))</f>
        <v/>
      </c>
      <c r="S18" s="23">
        <f>IF($N18="","",IFERROR(INDEX(Library!$F$3:$F$2000,MATCH($N18,Library!$A$3:$A$2000,0)),"NOT FOUND"))</f>
        <v/>
      </c>
      <c r="T18" s="23">
        <f>IF($N18="","",IFERROR(INDEX(Library!$G$3:$G$2000,MATCH($N18,Library!$A$3:$A$2000,0)),"NOT FOUND"))</f>
        <v/>
      </c>
      <c r="U18" s="23">
        <f>IF($N18="","",IFERROR(INDEX(Library!$H$3:$H$2000,MATCH($N18,Library!$A$3:$A$2000,0)),"NOT FOUND"))</f>
        <v/>
      </c>
      <c r="V18" s="23">
        <f>IF($N18="","",IFERROR(INDEX(Library!$I$3:$I$2000,MATCH($N18,Library!$A$3:$A$2000,0)),"NOT FOUND"))</f>
        <v/>
      </c>
      <c r="W18" s="23">
        <f>IF($N18="","",IFERROR(INDEX(Library!$J$3:$J$2000,MATCH($N18,Library!$A$3:$A$2000,0)),"NOT FOUND"))</f>
        <v/>
      </c>
      <c r="X18" s="23">
        <f>IF($N18="","",IFERROR(INDEX(Library!$K$3:$K$2000,MATCH($N18,Library!$A$3:$A$2000,0)),"NOT FOUND"))</f>
        <v/>
      </c>
      <c r="Y18" s="23">
        <f>IF($N18="","",IFERROR(INDEX(Library!$L$3:$L$2000,MATCH($N18,Library!$A$3:$A$2000,0)),"NOT FOUND"))</f>
        <v/>
      </c>
      <c r="Z18" s="23">
        <f>IF($N18="","",IFERROR(INDEX(Library!$M$3:$M$2000,MATCH($N18,Library!$A$3:$A$2000,0)),"NOT FOUND"))</f>
        <v/>
      </c>
      <c r="AA18" s="23">
        <f>IF($N18="","",IFERROR(INDEX(Library!$N$3:$N$2000,MATCH($N18,Library!$A$3:$A$2000,0)),"NOT FOUND"))</f>
        <v/>
      </c>
      <c r="AB18" s="23">
        <f>IF($N18="","",IFERROR(INDEX(Library!$O$3:$O$2000,MATCH($N18,Library!$A$3:$A$2000,0)),"NOT FOUND"))</f>
        <v/>
      </c>
      <c r="AC18" s="24">
        <f>IF($A18="","",IFERROR($D18+$E18,""))</f>
        <v/>
      </c>
      <c r="AD18" s="24">
        <f>IF($A18="","",IFERROR($H18/$D18,""))</f>
        <v/>
      </c>
      <c r="AE18" s="24">
        <f>IF($A18="","",IFERROR($I18/$E18,""))</f>
        <v/>
      </c>
      <c r="AF18" s="24">
        <f>IF($A18="","",IFERROR(($H18+$I18)/$D18,""))</f>
        <v/>
      </c>
      <c r="AG18" s="24">
        <f>IF($A18="","",IFERROR($J18/(SETUP_CP*(SETUP_LPHWF-SETUP_LPHWR)),""))</f>
        <v/>
      </c>
      <c r="AH18" s="24">
        <f>IF($A18="","",IFERROR($K18/(SETUP_CP*(SETUP_CHWR-SETUP_CHWF)),""))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IF($N19="","",IFERROR(INDEX(Library!$B$3:$B$2000,MATCH($N19,Library!$A$3:$A$2000,0)),"NOT FOUND"))</f>
        <v/>
      </c>
      <c r="P19" s="23">
        <f>IF($N19="","",IFERROR(INDEX(Library!$C$3:$C$2000,MATCH($N19,Library!$A$3:$A$2000,0)),"NOT FOUND"))</f>
        <v/>
      </c>
      <c r="Q19" s="23">
        <f>IF($N19="","",IFERROR(INDEX(Library!$D$3:$D$2000,MATCH($N19,Library!$A$3:$A$2000,0)),"NOT FOUND"))</f>
        <v/>
      </c>
      <c r="R19" s="23">
        <f>IF($N19="","",IFERROR(INDEX(Library!$E$3:$E$2000,MATCH($N19,Library!$A$3:$A$2000,0)),"NOT FOUND"))</f>
        <v/>
      </c>
      <c r="S19" s="23">
        <f>IF($N19="","",IFERROR(INDEX(Library!$F$3:$F$2000,MATCH($N19,Library!$A$3:$A$2000,0)),"NOT FOUND"))</f>
        <v/>
      </c>
      <c r="T19" s="23">
        <f>IF($N19="","",IFERROR(INDEX(Library!$G$3:$G$2000,MATCH($N19,Library!$A$3:$A$2000,0)),"NOT FOUND"))</f>
        <v/>
      </c>
      <c r="U19" s="23">
        <f>IF($N19="","",IFERROR(INDEX(Library!$H$3:$H$2000,MATCH($N19,Library!$A$3:$A$2000,0)),"NOT FOUND"))</f>
        <v/>
      </c>
      <c r="V19" s="23">
        <f>IF($N19="","",IFERROR(INDEX(Library!$I$3:$I$2000,MATCH($N19,Library!$A$3:$A$2000,0)),"NOT FOUND"))</f>
        <v/>
      </c>
      <c r="W19" s="23">
        <f>IF($N19="","",IFERROR(INDEX(Library!$J$3:$J$2000,MATCH($N19,Library!$A$3:$A$2000,0)),"NOT FOUND"))</f>
        <v/>
      </c>
      <c r="X19" s="23">
        <f>IF($N19="","",IFERROR(INDEX(Library!$K$3:$K$2000,MATCH($N19,Library!$A$3:$A$2000,0)),"NOT FOUND"))</f>
        <v/>
      </c>
      <c r="Y19" s="23">
        <f>IF($N19="","",IFERROR(INDEX(Library!$L$3:$L$2000,MATCH($N19,Library!$A$3:$A$2000,0)),"NOT FOUND"))</f>
        <v/>
      </c>
      <c r="Z19" s="23">
        <f>IF($N19="","",IFERROR(INDEX(Library!$M$3:$M$2000,MATCH($N19,Library!$A$3:$A$2000,0)),"NOT FOUND"))</f>
        <v/>
      </c>
      <c r="AA19" s="23">
        <f>IF($N19="","",IFERROR(INDEX(Library!$N$3:$N$2000,MATCH($N19,Library!$A$3:$A$2000,0)),"NOT FOUND"))</f>
        <v/>
      </c>
      <c r="AB19" s="23">
        <f>IF($N19="","",IFERROR(INDEX(Library!$O$3:$O$2000,MATCH($N19,Library!$A$3:$A$2000,0)),"NOT FOUND"))</f>
        <v/>
      </c>
      <c r="AC19" s="24">
        <f>IF($A19="","",IFERROR($D19+$E19,""))</f>
        <v/>
      </c>
      <c r="AD19" s="24">
        <f>IF($A19="","",IFERROR($H19/$D19,""))</f>
        <v/>
      </c>
      <c r="AE19" s="24">
        <f>IF($A19="","",IFERROR($I19/$E19,""))</f>
        <v/>
      </c>
      <c r="AF19" s="24">
        <f>IF($A19="","",IFERROR(($H19+$I19)/$D19,""))</f>
        <v/>
      </c>
      <c r="AG19" s="24">
        <f>IF($A19="","",IFERROR($J19/(SETUP_CP*(SETUP_LPHWF-SETUP_LPHWR)),""))</f>
        <v/>
      </c>
      <c r="AH19" s="24">
        <f>IF($A19="","",IFERROR($K19/(SETUP_CP*(SETUP_CHWR-SETUP_CHWF)),""))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IF($N20="","",IFERROR(INDEX(Library!$B$3:$B$2000,MATCH($N20,Library!$A$3:$A$2000,0)),"NOT FOUND"))</f>
        <v/>
      </c>
      <c r="P20" s="23">
        <f>IF($N20="","",IFERROR(INDEX(Library!$C$3:$C$2000,MATCH($N20,Library!$A$3:$A$2000,0)),"NOT FOUND"))</f>
        <v/>
      </c>
      <c r="Q20" s="23">
        <f>IF($N20="","",IFERROR(INDEX(Library!$D$3:$D$2000,MATCH($N20,Library!$A$3:$A$2000,0)),"NOT FOUND"))</f>
        <v/>
      </c>
      <c r="R20" s="23">
        <f>IF($N20="","",IFERROR(INDEX(Library!$E$3:$E$2000,MATCH($N20,Library!$A$3:$A$2000,0)),"NOT FOUND"))</f>
        <v/>
      </c>
      <c r="S20" s="23">
        <f>IF($N20="","",IFERROR(INDEX(Library!$F$3:$F$2000,MATCH($N20,Library!$A$3:$A$2000,0)),"NOT FOUND"))</f>
        <v/>
      </c>
      <c r="T20" s="23">
        <f>IF($N20="","",IFERROR(INDEX(Library!$G$3:$G$2000,MATCH($N20,Library!$A$3:$A$2000,0)),"NOT FOUND"))</f>
        <v/>
      </c>
      <c r="U20" s="23">
        <f>IF($N20="","",IFERROR(INDEX(Library!$H$3:$H$2000,MATCH($N20,Library!$A$3:$A$2000,0)),"NOT FOUND"))</f>
        <v/>
      </c>
      <c r="V20" s="23">
        <f>IF($N20="","",IFERROR(INDEX(Library!$I$3:$I$2000,MATCH($N20,Library!$A$3:$A$2000,0)),"NOT FOUND"))</f>
        <v/>
      </c>
      <c r="W20" s="23">
        <f>IF($N20="","",IFERROR(INDEX(Library!$J$3:$J$2000,MATCH($N20,Library!$A$3:$A$2000,0)),"NOT FOUND"))</f>
        <v/>
      </c>
      <c r="X20" s="23">
        <f>IF($N20="","",IFERROR(INDEX(Library!$K$3:$K$2000,MATCH($N20,Library!$A$3:$A$2000,0)),"NOT FOUND"))</f>
        <v/>
      </c>
      <c r="Y20" s="23">
        <f>IF($N20="","",IFERROR(INDEX(Library!$L$3:$L$2000,MATCH($N20,Library!$A$3:$A$2000,0)),"NOT FOUND"))</f>
        <v/>
      </c>
      <c r="Z20" s="23">
        <f>IF($N20="","",IFERROR(INDEX(Library!$M$3:$M$2000,MATCH($N20,Library!$A$3:$A$2000,0)),"NOT FOUND"))</f>
        <v/>
      </c>
      <c r="AA20" s="23">
        <f>IF($N20="","",IFERROR(INDEX(Library!$N$3:$N$2000,MATCH($N20,Library!$A$3:$A$2000,0)),"NOT FOUND"))</f>
        <v/>
      </c>
      <c r="AB20" s="23">
        <f>IF($N20="","",IFERROR(INDEX(Library!$O$3:$O$2000,MATCH($N20,Library!$A$3:$A$2000,0)),"NOT FOUND"))</f>
        <v/>
      </c>
      <c r="AC20" s="24">
        <f>IF($A20="","",IFERROR($D20+$E20,""))</f>
        <v/>
      </c>
      <c r="AD20" s="24">
        <f>IF($A20="","",IFERROR($H20/$D20,""))</f>
        <v/>
      </c>
      <c r="AE20" s="24">
        <f>IF($A20="","",IFERROR($I20/$E20,""))</f>
        <v/>
      </c>
      <c r="AF20" s="24">
        <f>IF($A20="","",IFERROR(($H20+$I20)/$D20,""))</f>
        <v/>
      </c>
      <c r="AG20" s="24">
        <f>IF($A20="","",IFERROR($J20/(SETUP_CP*(SETUP_LPHWF-SETUP_LPHWR)),""))</f>
        <v/>
      </c>
      <c r="AH20" s="24">
        <f>IF($A20="","",IFERROR($K20/(SETUP_CP*(SETUP_CHWR-SETUP_CHWF)),""))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IF($N21="","",IFERROR(INDEX(Library!$B$3:$B$2000,MATCH($N21,Library!$A$3:$A$2000,0)),"NOT FOUND"))</f>
        <v/>
      </c>
      <c r="P21" s="23">
        <f>IF($N21="","",IFERROR(INDEX(Library!$C$3:$C$2000,MATCH($N21,Library!$A$3:$A$2000,0)),"NOT FOUND"))</f>
        <v/>
      </c>
      <c r="Q21" s="23">
        <f>IF($N21="","",IFERROR(INDEX(Library!$D$3:$D$2000,MATCH($N21,Library!$A$3:$A$2000,0)),"NOT FOUND"))</f>
        <v/>
      </c>
      <c r="R21" s="23">
        <f>IF($N21="","",IFERROR(INDEX(Library!$E$3:$E$2000,MATCH($N21,Library!$A$3:$A$2000,0)),"NOT FOUND"))</f>
        <v/>
      </c>
      <c r="S21" s="23">
        <f>IF($N21="","",IFERROR(INDEX(Library!$F$3:$F$2000,MATCH($N21,Library!$A$3:$A$2000,0)),"NOT FOUND"))</f>
        <v/>
      </c>
      <c r="T21" s="23">
        <f>IF($N21="","",IFERROR(INDEX(Library!$G$3:$G$2000,MATCH($N21,Library!$A$3:$A$2000,0)),"NOT FOUND"))</f>
        <v/>
      </c>
      <c r="U21" s="23">
        <f>IF($N21="","",IFERROR(INDEX(Library!$H$3:$H$2000,MATCH($N21,Library!$A$3:$A$2000,0)),"NOT FOUND"))</f>
        <v/>
      </c>
      <c r="V21" s="23">
        <f>IF($N21="","",IFERROR(INDEX(Library!$I$3:$I$2000,MATCH($N21,Library!$A$3:$A$2000,0)),"NOT FOUND"))</f>
        <v/>
      </c>
      <c r="W21" s="23">
        <f>IF($N21="","",IFERROR(INDEX(Library!$J$3:$J$2000,MATCH($N21,Library!$A$3:$A$2000,0)),"NOT FOUND"))</f>
        <v/>
      </c>
      <c r="X21" s="23">
        <f>IF($N21="","",IFERROR(INDEX(Library!$K$3:$K$2000,MATCH($N21,Library!$A$3:$A$2000,0)),"NOT FOUND"))</f>
        <v/>
      </c>
      <c r="Y21" s="23">
        <f>IF($N21="","",IFERROR(INDEX(Library!$L$3:$L$2000,MATCH($N21,Library!$A$3:$A$2000,0)),"NOT FOUND"))</f>
        <v/>
      </c>
      <c r="Z21" s="23">
        <f>IF($N21="","",IFERROR(INDEX(Library!$M$3:$M$2000,MATCH($N21,Library!$A$3:$A$2000,0)),"NOT FOUND"))</f>
        <v/>
      </c>
      <c r="AA21" s="23">
        <f>IF($N21="","",IFERROR(INDEX(Library!$N$3:$N$2000,MATCH($N21,Library!$A$3:$A$2000,0)),"NOT FOUND"))</f>
        <v/>
      </c>
      <c r="AB21" s="23">
        <f>IF($N21="","",IFERROR(INDEX(Library!$O$3:$O$2000,MATCH($N21,Library!$A$3:$A$2000,0)),"NOT FOUND"))</f>
        <v/>
      </c>
      <c r="AC21" s="24">
        <f>IF($A21="","",IFERROR($D21+$E21,""))</f>
        <v/>
      </c>
      <c r="AD21" s="24">
        <f>IF($A21="","",IFERROR($H21/$D21,""))</f>
        <v/>
      </c>
      <c r="AE21" s="24">
        <f>IF($A21="","",IFERROR($I21/$E21,""))</f>
        <v/>
      </c>
      <c r="AF21" s="24">
        <f>IF($A21="","",IFERROR(($H21+$I21)/$D21,""))</f>
        <v/>
      </c>
      <c r="AG21" s="24">
        <f>IF($A21="","",IFERROR($J21/(SETUP_CP*(SETUP_LPHWF-SETUP_LPHWR)),""))</f>
        <v/>
      </c>
      <c r="AH21" s="24">
        <f>IF($A21="","",IFERROR($K21/(SETUP_CP*(SETUP_CHWR-SETUP_CHWF)),""))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IF($N22="","",IFERROR(INDEX(Library!$B$3:$B$2000,MATCH($N22,Library!$A$3:$A$2000,0)),"NOT FOUND"))</f>
        <v/>
      </c>
      <c r="P22" s="23">
        <f>IF($N22="","",IFERROR(INDEX(Library!$C$3:$C$2000,MATCH($N22,Library!$A$3:$A$2000,0)),"NOT FOUND"))</f>
        <v/>
      </c>
      <c r="Q22" s="23">
        <f>IF($N22="","",IFERROR(INDEX(Library!$D$3:$D$2000,MATCH($N22,Library!$A$3:$A$2000,0)),"NOT FOUND"))</f>
        <v/>
      </c>
      <c r="R22" s="23">
        <f>IF($N22="","",IFERROR(INDEX(Library!$E$3:$E$2000,MATCH($N22,Library!$A$3:$A$2000,0)),"NOT FOUND"))</f>
        <v/>
      </c>
      <c r="S22" s="23">
        <f>IF($N22="","",IFERROR(INDEX(Library!$F$3:$F$2000,MATCH($N22,Library!$A$3:$A$2000,0)),"NOT FOUND"))</f>
        <v/>
      </c>
      <c r="T22" s="23">
        <f>IF($N22="","",IFERROR(INDEX(Library!$G$3:$G$2000,MATCH($N22,Library!$A$3:$A$2000,0)),"NOT FOUND"))</f>
        <v/>
      </c>
      <c r="U22" s="23">
        <f>IF($N22="","",IFERROR(INDEX(Library!$H$3:$H$2000,MATCH($N22,Library!$A$3:$A$2000,0)),"NOT FOUND"))</f>
        <v/>
      </c>
      <c r="V22" s="23">
        <f>IF($N22="","",IFERROR(INDEX(Library!$I$3:$I$2000,MATCH($N22,Library!$A$3:$A$2000,0)),"NOT FOUND"))</f>
        <v/>
      </c>
      <c r="W22" s="23">
        <f>IF($N22="","",IFERROR(INDEX(Library!$J$3:$J$2000,MATCH($N22,Library!$A$3:$A$2000,0)),"NOT FOUND"))</f>
        <v/>
      </c>
      <c r="X22" s="23">
        <f>IF($N22="","",IFERROR(INDEX(Library!$K$3:$K$2000,MATCH($N22,Library!$A$3:$A$2000,0)),"NOT FOUND"))</f>
        <v/>
      </c>
      <c r="Y22" s="23">
        <f>IF($N22="","",IFERROR(INDEX(Library!$L$3:$L$2000,MATCH($N22,Library!$A$3:$A$2000,0)),"NOT FOUND"))</f>
        <v/>
      </c>
      <c r="Z22" s="23">
        <f>IF($N22="","",IFERROR(INDEX(Library!$M$3:$M$2000,MATCH($N22,Library!$A$3:$A$2000,0)),"NOT FOUND"))</f>
        <v/>
      </c>
      <c r="AA22" s="23">
        <f>IF($N22="","",IFERROR(INDEX(Library!$N$3:$N$2000,MATCH($N22,Library!$A$3:$A$2000,0)),"NOT FOUND"))</f>
        <v/>
      </c>
      <c r="AB22" s="23">
        <f>IF($N22="","",IFERROR(INDEX(Library!$O$3:$O$2000,MATCH($N22,Library!$A$3:$A$2000,0)),"NOT FOUND"))</f>
        <v/>
      </c>
      <c r="AC22" s="24">
        <f>IF($A22="","",IFERROR($D22+$E22,""))</f>
        <v/>
      </c>
      <c r="AD22" s="24">
        <f>IF($A22="","",IFERROR($H22/$D22,""))</f>
        <v/>
      </c>
      <c r="AE22" s="24">
        <f>IF($A22="","",IFERROR($I22/$E22,""))</f>
        <v/>
      </c>
      <c r="AF22" s="24">
        <f>IF($A22="","",IFERROR(($H22+$I22)/$D22,""))</f>
        <v/>
      </c>
      <c r="AG22" s="24">
        <f>IF($A22="","",IFERROR($J22/(SETUP_CP*(SETUP_LPHWF-SETUP_LPHWR)),""))</f>
        <v/>
      </c>
      <c r="AH22" s="24">
        <f>IF($A22="","",IFERROR($K22/(SETUP_CP*(SETUP_CHWR-SETUP_CHWF)),""))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IF($N23="","",IFERROR(INDEX(Library!$B$3:$B$2000,MATCH($N23,Library!$A$3:$A$2000,0)),"NOT FOUND"))</f>
        <v/>
      </c>
      <c r="P23" s="23">
        <f>IF($N23="","",IFERROR(INDEX(Library!$C$3:$C$2000,MATCH($N23,Library!$A$3:$A$2000,0)),"NOT FOUND"))</f>
        <v/>
      </c>
      <c r="Q23" s="23">
        <f>IF($N23="","",IFERROR(INDEX(Library!$D$3:$D$2000,MATCH($N23,Library!$A$3:$A$2000,0)),"NOT FOUND"))</f>
        <v/>
      </c>
      <c r="R23" s="23">
        <f>IF($N23="","",IFERROR(INDEX(Library!$E$3:$E$2000,MATCH($N23,Library!$A$3:$A$2000,0)),"NOT FOUND"))</f>
        <v/>
      </c>
      <c r="S23" s="23">
        <f>IF($N23="","",IFERROR(INDEX(Library!$F$3:$F$2000,MATCH($N23,Library!$A$3:$A$2000,0)),"NOT FOUND"))</f>
        <v/>
      </c>
      <c r="T23" s="23">
        <f>IF($N23="","",IFERROR(INDEX(Library!$G$3:$G$2000,MATCH($N23,Library!$A$3:$A$2000,0)),"NOT FOUND"))</f>
        <v/>
      </c>
      <c r="U23" s="23">
        <f>IF($N23="","",IFERROR(INDEX(Library!$H$3:$H$2000,MATCH($N23,Library!$A$3:$A$2000,0)),"NOT FOUND"))</f>
        <v/>
      </c>
      <c r="V23" s="23">
        <f>IF($N23="","",IFERROR(INDEX(Library!$I$3:$I$2000,MATCH($N23,Library!$A$3:$A$2000,0)),"NOT FOUND"))</f>
        <v/>
      </c>
      <c r="W23" s="23">
        <f>IF($N23="","",IFERROR(INDEX(Library!$J$3:$J$2000,MATCH($N23,Library!$A$3:$A$2000,0)),"NOT FOUND"))</f>
        <v/>
      </c>
      <c r="X23" s="23">
        <f>IF($N23="","",IFERROR(INDEX(Library!$K$3:$K$2000,MATCH($N23,Library!$A$3:$A$2000,0)),"NOT FOUND"))</f>
        <v/>
      </c>
      <c r="Y23" s="23">
        <f>IF($N23="","",IFERROR(INDEX(Library!$L$3:$L$2000,MATCH($N23,Library!$A$3:$A$2000,0)),"NOT FOUND"))</f>
        <v/>
      </c>
      <c r="Z23" s="23">
        <f>IF($N23="","",IFERROR(INDEX(Library!$M$3:$M$2000,MATCH($N23,Library!$A$3:$A$2000,0)),"NOT FOUND"))</f>
        <v/>
      </c>
      <c r="AA23" s="23">
        <f>IF($N23="","",IFERROR(INDEX(Library!$N$3:$N$2000,MATCH($N23,Library!$A$3:$A$2000,0)),"NOT FOUND"))</f>
        <v/>
      </c>
      <c r="AB23" s="23">
        <f>IF($N23="","",IFERROR(INDEX(Library!$O$3:$O$2000,MATCH($N23,Library!$A$3:$A$2000,0)),"NOT FOUND"))</f>
        <v/>
      </c>
      <c r="AC23" s="24">
        <f>IF($A23="","",IFERROR($D23+$E23,""))</f>
        <v/>
      </c>
      <c r="AD23" s="24">
        <f>IF($A23="","",IFERROR($H23/$D23,""))</f>
        <v/>
      </c>
      <c r="AE23" s="24">
        <f>IF($A23="","",IFERROR($I23/$E23,""))</f>
        <v/>
      </c>
      <c r="AF23" s="24">
        <f>IF($A23="","",IFERROR(($H23+$I23)/$D23,""))</f>
        <v/>
      </c>
      <c r="AG23" s="24">
        <f>IF($A23="","",IFERROR($J23/(SETUP_CP*(SETUP_LPHWF-SETUP_LPHWR)),""))</f>
        <v/>
      </c>
      <c r="AH23" s="24">
        <f>IF($A23="","",IFERROR($K23/(SETUP_CP*(SETUP_CHWR-SETUP_CHWF)),""))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IF($N24="","",IFERROR(INDEX(Library!$B$3:$B$2000,MATCH($N24,Library!$A$3:$A$2000,0)),"NOT FOUND"))</f>
        <v/>
      </c>
      <c r="P24" s="23">
        <f>IF($N24="","",IFERROR(INDEX(Library!$C$3:$C$2000,MATCH($N24,Library!$A$3:$A$2000,0)),"NOT FOUND"))</f>
        <v/>
      </c>
      <c r="Q24" s="23">
        <f>IF($N24="","",IFERROR(INDEX(Library!$D$3:$D$2000,MATCH($N24,Library!$A$3:$A$2000,0)),"NOT FOUND"))</f>
        <v/>
      </c>
      <c r="R24" s="23">
        <f>IF($N24="","",IFERROR(INDEX(Library!$E$3:$E$2000,MATCH($N24,Library!$A$3:$A$2000,0)),"NOT FOUND"))</f>
        <v/>
      </c>
      <c r="S24" s="23">
        <f>IF($N24="","",IFERROR(INDEX(Library!$F$3:$F$2000,MATCH($N24,Library!$A$3:$A$2000,0)),"NOT FOUND"))</f>
        <v/>
      </c>
      <c r="T24" s="23">
        <f>IF($N24="","",IFERROR(INDEX(Library!$G$3:$G$2000,MATCH($N24,Library!$A$3:$A$2000,0)),"NOT FOUND"))</f>
        <v/>
      </c>
      <c r="U24" s="23">
        <f>IF($N24="","",IFERROR(INDEX(Library!$H$3:$H$2000,MATCH($N24,Library!$A$3:$A$2000,0)),"NOT FOUND"))</f>
        <v/>
      </c>
      <c r="V24" s="23">
        <f>IF($N24="","",IFERROR(INDEX(Library!$I$3:$I$2000,MATCH($N24,Library!$A$3:$A$2000,0)),"NOT FOUND"))</f>
        <v/>
      </c>
      <c r="W24" s="23">
        <f>IF($N24="","",IFERROR(INDEX(Library!$J$3:$J$2000,MATCH($N24,Library!$A$3:$A$2000,0)),"NOT FOUND"))</f>
        <v/>
      </c>
      <c r="X24" s="23">
        <f>IF($N24="","",IFERROR(INDEX(Library!$K$3:$K$2000,MATCH($N24,Library!$A$3:$A$2000,0)),"NOT FOUND"))</f>
        <v/>
      </c>
      <c r="Y24" s="23">
        <f>IF($N24="","",IFERROR(INDEX(Library!$L$3:$L$2000,MATCH($N24,Library!$A$3:$A$2000,0)),"NOT FOUND"))</f>
        <v/>
      </c>
      <c r="Z24" s="23">
        <f>IF($N24="","",IFERROR(INDEX(Library!$M$3:$M$2000,MATCH($N24,Library!$A$3:$A$2000,0)),"NOT FOUND"))</f>
        <v/>
      </c>
      <c r="AA24" s="23">
        <f>IF($N24="","",IFERROR(INDEX(Library!$N$3:$N$2000,MATCH($N24,Library!$A$3:$A$2000,0)),"NOT FOUND"))</f>
        <v/>
      </c>
      <c r="AB24" s="23">
        <f>IF($N24="","",IFERROR(INDEX(Library!$O$3:$O$2000,MATCH($N24,Library!$A$3:$A$2000,0)),"NOT FOUND"))</f>
        <v/>
      </c>
      <c r="AC24" s="24">
        <f>IF($A24="","",IFERROR($D24+$E24,""))</f>
        <v/>
      </c>
      <c r="AD24" s="24">
        <f>IF($A24="","",IFERROR($H24/$D24,""))</f>
        <v/>
      </c>
      <c r="AE24" s="24">
        <f>IF($A24="","",IFERROR($I24/$E24,""))</f>
        <v/>
      </c>
      <c r="AF24" s="24">
        <f>IF($A24="","",IFERROR(($H24+$I24)/$D24,""))</f>
        <v/>
      </c>
      <c r="AG24" s="24">
        <f>IF($A24="","",IFERROR($J24/(SETUP_CP*(SETUP_LPHWF-SETUP_LPHWR)),""))</f>
        <v/>
      </c>
      <c r="AH24" s="24">
        <f>IF($A24="","",IFERROR($K24/(SETUP_CP*(SETUP_CHWR-SETUP_CHWF)),""))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IF($N25="","",IFERROR(INDEX(Library!$B$3:$B$2000,MATCH($N25,Library!$A$3:$A$2000,0)),"NOT FOUND"))</f>
        <v/>
      </c>
      <c r="P25" s="23">
        <f>IF($N25="","",IFERROR(INDEX(Library!$C$3:$C$2000,MATCH($N25,Library!$A$3:$A$2000,0)),"NOT FOUND"))</f>
        <v/>
      </c>
      <c r="Q25" s="23">
        <f>IF($N25="","",IFERROR(INDEX(Library!$D$3:$D$2000,MATCH($N25,Library!$A$3:$A$2000,0)),"NOT FOUND"))</f>
        <v/>
      </c>
      <c r="R25" s="23">
        <f>IF($N25="","",IFERROR(INDEX(Library!$E$3:$E$2000,MATCH($N25,Library!$A$3:$A$2000,0)),"NOT FOUND"))</f>
        <v/>
      </c>
      <c r="S25" s="23">
        <f>IF($N25="","",IFERROR(INDEX(Library!$F$3:$F$2000,MATCH($N25,Library!$A$3:$A$2000,0)),"NOT FOUND"))</f>
        <v/>
      </c>
      <c r="T25" s="23">
        <f>IF($N25="","",IFERROR(INDEX(Library!$G$3:$G$2000,MATCH($N25,Library!$A$3:$A$2000,0)),"NOT FOUND"))</f>
        <v/>
      </c>
      <c r="U25" s="23">
        <f>IF($N25="","",IFERROR(INDEX(Library!$H$3:$H$2000,MATCH($N25,Library!$A$3:$A$2000,0)),"NOT FOUND"))</f>
        <v/>
      </c>
      <c r="V25" s="23">
        <f>IF($N25="","",IFERROR(INDEX(Library!$I$3:$I$2000,MATCH($N25,Library!$A$3:$A$2000,0)),"NOT FOUND"))</f>
        <v/>
      </c>
      <c r="W25" s="23">
        <f>IF($N25="","",IFERROR(INDEX(Library!$J$3:$J$2000,MATCH($N25,Library!$A$3:$A$2000,0)),"NOT FOUND"))</f>
        <v/>
      </c>
      <c r="X25" s="23">
        <f>IF($N25="","",IFERROR(INDEX(Library!$K$3:$K$2000,MATCH($N25,Library!$A$3:$A$2000,0)),"NOT FOUND"))</f>
        <v/>
      </c>
      <c r="Y25" s="23">
        <f>IF($N25="","",IFERROR(INDEX(Library!$L$3:$L$2000,MATCH($N25,Library!$A$3:$A$2000,0)),"NOT FOUND"))</f>
        <v/>
      </c>
      <c r="Z25" s="23">
        <f>IF($N25="","",IFERROR(INDEX(Library!$M$3:$M$2000,MATCH($N25,Library!$A$3:$A$2000,0)),"NOT FOUND"))</f>
        <v/>
      </c>
      <c r="AA25" s="23">
        <f>IF($N25="","",IFERROR(INDEX(Library!$N$3:$N$2000,MATCH($N25,Library!$A$3:$A$2000,0)),"NOT FOUND"))</f>
        <v/>
      </c>
      <c r="AB25" s="23">
        <f>IF($N25="","",IFERROR(INDEX(Library!$O$3:$O$2000,MATCH($N25,Library!$A$3:$A$2000,0)),"NOT FOUND"))</f>
        <v/>
      </c>
      <c r="AC25" s="24">
        <f>IF($A25="","",IFERROR($D25+$E25,""))</f>
        <v/>
      </c>
      <c r="AD25" s="24">
        <f>IF($A25="","",IFERROR($H25/$D25,""))</f>
        <v/>
      </c>
      <c r="AE25" s="24">
        <f>IF($A25="","",IFERROR($I25/$E25,""))</f>
        <v/>
      </c>
      <c r="AF25" s="24">
        <f>IF($A25="","",IFERROR(($H25+$I25)/$D25,""))</f>
        <v/>
      </c>
      <c r="AG25" s="24">
        <f>IF($A25="","",IFERROR($J25/(SETUP_CP*(SETUP_LPHWF-SETUP_LPHWR)),""))</f>
        <v/>
      </c>
      <c r="AH25" s="24">
        <f>IF($A25="","",IFERROR($K25/(SETUP_CP*(SETUP_CHWR-SETUP_CHWF)),""))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IF($N26="","",IFERROR(INDEX(Library!$B$3:$B$2000,MATCH($N26,Library!$A$3:$A$2000,0)),"NOT FOUND"))</f>
        <v/>
      </c>
      <c r="P26" s="23">
        <f>IF($N26="","",IFERROR(INDEX(Library!$C$3:$C$2000,MATCH($N26,Library!$A$3:$A$2000,0)),"NOT FOUND"))</f>
        <v/>
      </c>
      <c r="Q26" s="23">
        <f>IF($N26="","",IFERROR(INDEX(Library!$D$3:$D$2000,MATCH($N26,Library!$A$3:$A$2000,0)),"NOT FOUND"))</f>
        <v/>
      </c>
      <c r="R26" s="23">
        <f>IF($N26="","",IFERROR(INDEX(Library!$E$3:$E$2000,MATCH($N26,Library!$A$3:$A$2000,0)),"NOT FOUND"))</f>
        <v/>
      </c>
      <c r="S26" s="23">
        <f>IF($N26="","",IFERROR(INDEX(Library!$F$3:$F$2000,MATCH($N26,Library!$A$3:$A$2000,0)),"NOT FOUND"))</f>
        <v/>
      </c>
      <c r="T26" s="23">
        <f>IF($N26="","",IFERROR(INDEX(Library!$G$3:$G$2000,MATCH($N26,Library!$A$3:$A$2000,0)),"NOT FOUND"))</f>
        <v/>
      </c>
      <c r="U26" s="23">
        <f>IF($N26="","",IFERROR(INDEX(Library!$H$3:$H$2000,MATCH($N26,Library!$A$3:$A$2000,0)),"NOT FOUND"))</f>
        <v/>
      </c>
      <c r="V26" s="23">
        <f>IF($N26="","",IFERROR(INDEX(Library!$I$3:$I$2000,MATCH($N26,Library!$A$3:$A$2000,0)),"NOT FOUND"))</f>
        <v/>
      </c>
      <c r="W26" s="23">
        <f>IF($N26="","",IFERROR(INDEX(Library!$J$3:$J$2000,MATCH($N26,Library!$A$3:$A$2000,0)),"NOT FOUND"))</f>
        <v/>
      </c>
      <c r="X26" s="23">
        <f>IF($N26="","",IFERROR(INDEX(Library!$K$3:$K$2000,MATCH($N26,Library!$A$3:$A$2000,0)),"NOT FOUND"))</f>
        <v/>
      </c>
      <c r="Y26" s="23">
        <f>IF($N26="","",IFERROR(INDEX(Library!$L$3:$L$2000,MATCH($N26,Library!$A$3:$A$2000,0)),"NOT FOUND"))</f>
        <v/>
      </c>
      <c r="Z26" s="23">
        <f>IF($N26="","",IFERROR(INDEX(Library!$M$3:$M$2000,MATCH($N26,Library!$A$3:$A$2000,0)),"NOT FOUND"))</f>
        <v/>
      </c>
      <c r="AA26" s="23">
        <f>IF($N26="","",IFERROR(INDEX(Library!$N$3:$N$2000,MATCH($N26,Library!$A$3:$A$2000,0)),"NOT FOUND"))</f>
        <v/>
      </c>
      <c r="AB26" s="23">
        <f>IF($N26="","",IFERROR(INDEX(Library!$O$3:$O$2000,MATCH($N26,Library!$A$3:$A$2000,0)),"NOT FOUND"))</f>
        <v/>
      </c>
      <c r="AC26" s="24">
        <f>IF($A26="","",IFERROR($D26+$E26,""))</f>
        <v/>
      </c>
      <c r="AD26" s="24">
        <f>IF($A26="","",IFERROR($H26/$D26,""))</f>
        <v/>
      </c>
      <c r="AE26" s="24">
        <f>IF($A26="","",IFERROR($I26/$E26,""))</f>
        <v/>
      </c>
      <c r="AF26" s="24">
        <f>IF($A26="","",IFERROR(($H26+$I26)/$D26,""))</f>
        <v/>
      </c>
      <c r="AG26" s="24">
        <f>IF($A26="","",IFERROR($J26/(SETUP_CP*(SETUP_LPHWF-SETUP_LPHWR)),""))</f>
        <v/>
      </c>
      <c r="AH26" s="24">
        <f>IF($A26="","",IFERROR($K26/(SETUP_CP*(SETUP_CHWR-SETUP_CHWF)),""))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IF($N27="","",IFERROR(INDEX(Library!$B$3:$B$2000,MATCH($N27,Library!$A$3:$A$2000,0)),"NOT FOUND"))</f>
        <v/>
      </c>
      <c r="P27" s="23">
        <f>IF($N27="","",IFERROR(INDEX(Library!$C$3:$C$2000,MATCH($N27,Library!$A$3:$A$2000,0)),"NOT FOUND"))</f>
        <v/>
      </c>
      <c r="Q27" s="23">
        <f>IF($N27="","",IFERROR(INDEX(Library!$D$3:$D$2000,MATCH($N27,Library!$A$3:$A$2000,0)),"NOT FOUND"))</f>
        <v/>
      </c>
      <c r="R27" s="23">
        <f>IF($N27="","",IFERROR(INDEX(Library!$E$3:$E$2000,MATCH($N27,Library!$A$3:$A$2000,0)),"NOT FOUND"))</f>
        <v/>
      </c>
      <c r="S27" s="23">
        <f>IF($N27="","",IFERROR(INDEX(Library!$F$3:$F$2000,MATCH($N27,Library!$A$3:$A$2000,0)),"NOT FOUND"))</f>
        <v/>
      </c>
      <c r="T27" s="23">
        <f>IF($N27="","",IFERROR(INDEX(Library!$G$3:$G$2000,MATCH($N27,Library!$A$3:$A$2000,0)),"NOT FOUND"))</f>
        <v/>
      </c>
      <c r="U27" s="23">
        <f>IF($N27="","",IFERROR(INDEX(Library!$H$3:$H$2000,MATCH($N27,Library!$A$3:$A$2000,0)),"NOT FOUND"))</f>
        <v/>
      </c>
      <c r="V27" s="23">
        <f>IF($N27="","",IFERROR(INDEX(Library!$I$3:$I$2000,MATCH($N27,Library!$A$3:$A$2000,0)),"NOT FOUND"))</f>
        <v/>
      </c>
      <c r="W27" s="23">
        <f>IF($N27="","",IFERROR(INDEX(Library!$J$3:$J$2000,MATCH($N27,Library!$A$3:$A$2000,0)),"NOT FOUND"))</f>
        <v/>
      </c>
      <c r="X27" s="23">
        <f>IF($N27="","",IFERROR(INDEX(Library!$K$3:$K$2000,MATCH($N27,Library!$A$3:$A$2000,0)),"NOT FOUND"))</f>
        <v/>
      </c>
      <c r="Y27" s="23">
        <f>IF($N27="","",IFERROR(INDEX(Library!$L$3:$L$2000,MATCH($N27,Library!$A$3:$A$2000,0)),"NOT FOUND"))</f>
        <v/>
      </c>
      <c r="Z27" s="23">
        <f>IF($N27="","",IFERROR(INDEX(Library!$M$3:$M$2000,MATCH($N27,Library!$A$3:$A$2000,0)),"NOT FOUND"))</f>
        <v/>
      </c>
      <c r="AA27" s="23">
        <f>IF($N27="","",IFERROR(INDEX(Library!$N$3:$N$2000,MATCH($N27,Library!$A$3:$A$2000,0)),"NOT FOUND"))</f>
        <v/>
      </c>
      <c r="AB27" s="23">
        <f>IF($N27="","",IFERROR(INDEX(Library!$O$3:$O$2000,MATCH($N27,Library!$A$3:$A$2000,0)),"NOT FOUND"))</f>
        <v/>
      </c>
      <c r="AC27" s="24">
        <f>IF($A27="","",IFERROR($D27+$E27,""))</f>
        <v/>
      </c>
      <c r="AD27" s="24">
        <f>IF($A27="","",IFERROR($H27/$D27,""))</f>
        <v/>
      </c>
      <c r="AE27" s="24">
        <f>IF($A27="","",IFERROR($I27/$E27,""))</f>
        <v/>
      </c>
      <c r="AF27" s="24">
        <f>IF($A27="","",IFERROR(($H27+$I27)/$D27,""))</f>
        <v/>
      </c>
      <c r="AG27" s="24">
        <f>IF($A27="","",IFERROR($J27/(SETUP_CP*(SETUP_LPHWF-SETUP_LPHWR)),""))</f>
        <v/>
      </c>
      <c r="AH27" s="24">
        <f>IF($A27="","",IFERROR($K27/(SETUP_CP*(SETUP_CHWR-SETUP_CHWF)),""))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IF($N28="","",IFERROR(INDEX(Library!$B$3:$B$2000,MATCH($N28,Library!$A$3:$A$2000,0)),"NOT FOUND"))</f>
        <v/>
      </c>
      <c r="P28" s="23">
        <f>IF($N28="","",IFERROR(INDEX(Library!$C$3:$C$2000,MATCH($N28,Library!$A$3:$A$2000,0)),"NOT FOUND"))</f>
        <v/>
      </c>
      <c r="Q28" s="23">
        <f>IF($N28="","",IFERROR(INDEX(Library!$D$3:$D$2000,MATCH($N28,Library!$A$3:$A$2000,0)),"NOT FOUND"))</f>
        <v/>
      </c>
      <c r="R28" s="23">
        <f>IF($N28="","",IFERROR(INDEX(Library!$E$3:$E$2000,MATCH($N28,Library!$A$3:$A$2000,0)),"NOT FOUND"))</f>
        <v/>
      </c>
      <c r="S28" s="23">
        <f>IF($N28="","",IFERROR(INDEX(Library!$F$3:$F$2000,MATCH($N28,Library!$A$3:$A$2000,0)),"NOT FOUND"))</f>
        <v/>
      </c>
      <c r="T28" s="23">
        <f>IF($N28="","",IFERROR(INDEX(Library!$G$3:$G$2000,MATCH($N28,Library!$A$3:$A$2000,0)),"NOT FOUND"))</f>
        <v/>
      </c>
      <c r="U28" s="23">
        <f>IF($N28="","",IFERROR(INDEX(Library!$H$3:$H$2000,MATCH($N28,Library!$A$3:$A$2000,0)),"NOT FOUND"))</f>
        <v/>
      </c>
      <c r="V28" s="23">
        <f>IF($N28="","",IFERROR(INDEX(Library!$I$3:$I$2000,MATCH($N28,Library!$A$3:$A$2000,0)),"NOT FOUND"))</f>
        <v/>
      </c>
      <c r="W28" s="23">
        <f>IF($N28="","",IFERROR(INDEX(Library!$J$3:$J$2000,MATCH($N28,Library!$A$3:$A$2000,0)),"NOT FOUND"))</f>
        <v/>
      </c>
      <c r="X28" s="23">
        <f>IF($N28="","",IFERROR(INDEX(Library!$K$3:$K$2000,MATCH($N28,Library!$A$3:$A$2000,0)),"NOT FOUND"))</f>
        <v/>
      </c>
      <c r="Y28" s="23">
        <f>IF($N28="","",IFERROR(INDEX(Library!$L$3:$L$2000,MATCH($N28,Library!$A$3:$A$2000,0)),"NOT FOUND"))</f>
        <v/>
      </c>
      <c r="Z28" s="23">
        <f>IF($N28="","",IFERROR(INDEX(Library!$M$3:$M$2000,MATCH($N28,Library!$A$3:$A$2000,0)),"NOT FOUND"))</f>
        <v/>
      </c>
      <c r="AA28" s="23">
        <f>IF($N28="","",IFERROR(INDEX(Library!$N$3:$N$2000,MATCH($N28,Library!$A$3:$A$2000,0)),"NOT FOUND"))</f>
        <v/>
      </c>
      <c r="AB28" s="23">
        <f>IF($N28="","",IFERROR(INDEX(Library!$O$3:$O$2000,MATCH($N28,Library!$A$3:$A$2000,0)),"NOT FOUND"))</f>
        <v/>
      </c>
      <c r="AC28" s="24">
        <f>IF($A28="","",IFERROR($D28+$E28,""))</f>
        <v/>
      </c>
      <c r="AD28" s="24">
        <f>IF($A28="","",IFERROR($H28/$D28,""))</f>
        <v/>
      </c>
      <c r="AE28" s="24">
        <f>IF($A28="","",IFERROR($I28/$E28,""))</f>
        <v/>
      </c>
      <c r="AF28" s="24">
        <f>IF($A28="","",IFERROR(($H28+$I28)/$D28,""))</f>
        <v/>
      </c>
      <c r="AG28" s="24">
        <f>IF($A28="","",IFERROR($J28/(SETUP_CP*(SETUP_LPHWF-SETUP_LPHWR)),""))</f>
        <v/>
      </c>
      <c r="AH28" s="24">
        <f>IF($A28="","",IFERROR($K28/(SETUP_CP*(SETUP_CHWR-SETUP_CHWF)),""))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IF($N29="","",IFERROR(INDEX(Library!$B$3:$B$2000,MATCH($N29,Library!$A$3:$A$2000,0)),"NOT FOUND"))</f>
        <v/>
      </c>
      <c r="P29" s="23">
        <f>IF($N29="","",IFERROR(INDEX(Library!$C$3:$C$2000,MATCH($N29,Library!$A$3:$A$2000,0)),"NOT FOUND"))</f>
        <v/>
      </c>
      <c r="Q29" s="23">
        <f>IF($N29="","",IFERROR(INDEX(Library!$D$3:$D$2000,MATCH($N29,Library!$A$3:$A$2000,0)),"NOT FOUND"))</f>
        <v/>
      </c>
      <c r="R29" s="23">
        <f>IF($N29="","",IFERROR(INDEX(Library!$E$3:$E$2000,MATCH($N29,Library!$A$3:$A$2000,0)),"NOT FOUND"))</f>
        <v/>
      </c>
      <c r="S29" s="23">
        <f>IF($N29="","",IFERROR(INDEX(Library!$F$3:$F$2000,MATCH($N29,Library!$A$3:$A$2000,0)),"NOT FOUND"))</f>
        <v/>
      </c>
      <c r="T29" s="23">
        <f>IF($N29="","",IFERROR(INDEX(Library!$G$3:$G$2000,MATCH($N29,Library!$A$3:$A$2000,0)),"NOT FOUND"))</f>
        <v/>
      </c>
      <c r="U29" s="23">
        <f>IF($N29="","",IFERROR(INDEX(Library!$H$3:$H$2000,MATCH($N29,Library!$A$3:$A$2000,0)),"NOT FOUND"))</f>
        <v/>
      </c>
      <c r="V29" s="23">
        <f>IF($N29="","",IFERROR(INDEX(Library!$I$3:$I$2000,MATCH($N29,Library!$A$3:$A$2000,0)),"NOT FOUND"))</f>
        <v/>
      </c>
      <c r="W29" s="23">
        <f>IF($N29="","",IFERROR(INDEX(Library!$J$3:$J$2000,MATCH($N29,Library!$A$3:$A$2000,0)),"NOT FOUND"))</f>
        <v/>
      </c>
      <c r="X29" s="23">
        <f>IF($N29="","",IFERROR(INDEX(Library!$K$3:$K$2000,MATCH($N29,Library!$A$3:$A$2000,0)),"NOT FOUND"))</f>
        <v/>
      </c>
      <c r="Y29" s="23">
        <f>IF($N29="","",IFERROR(INDEX(Library!$L$3:$L$2000,MATCH($N29,Library!$A$3:$A$2000,0)),"NOT FOUND"))</f>
        <v/>
      </c>
      <c r="Z29" s="23">
        <f>IF($N29="","",IFERROR(INDEX(Library!$M$3:$M$2000,MATCH($N29,Library!$A$3:$A$2000,0)),"NOT FOUND"))</f>
        <v/>
      </c>
      <c r="AA29" s="23">
        <f>IF($N29="","",IFERROR(INDEX(Library!$N$3:$N$2000,MATCH($N29,Library!$A$3:$A$2000,0)),"NOT FOUND"))</f>
        <v/>
      </c>
      <c r="AB29" s="23">
        <f>IF($N29="","",IFERROR(INDEX(Library!$O$3:$O$2000,MATCH($N29,Library!$A$3:$A$2000,0)),"NOT FOUND"))</f>
        <v/>
      </c>
      <c r="AC29" s="24">
        <f>IF($A29="","",IFERROR($D29+$E29,""))</f>
        <v/>
      </c>
      <c r="AD29" s="24">
        <f>IF($A29="","",IFERROR($H29/$D29,""))</f>
        <v/>
      </c>
      <c r="AE29" s="24">
        <f>IF($A29="","",IFERROR($I29/$E29,""))</f>
        <v/>
      </c>
      <c r="AF29" s="24">
        <f>IF($A29="","",IFERROR(($H29+$I29)/$D29,""))</f>
        <v/>
      </c>
      <c r="AG29" s="24">
        <f>IF($A29="","",IFERROR($J29/(SETUP_CP*(SETUP_LPHWF-SETUP_LPHWR)),""))</f>
        <v/>
      </c>
      <c r="AH29" s="24">
        <f>IF($A29="","",IFERROR($K29/(SETUP_CP*(SETUP_CHWR-SETUP_CHWF)),""))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IF($N30="","",IFERROR(INDEX(Library!$B$3:$B$2000,MATCH($N30,Library!$A$3:$A$2000,0)),"NOT FOUND"))</f>
        <v/>
      </c>
      <c r="P30" s="23">
        <f>IF($N30="","",IFERROR(INDEX(Library!$C$3:$C$2000,MATCH($N30,Library!$A$3:$A$2000,0)),"NOT FOUND"))</f>
        <v/>
      </c>
      <c r="Q30" s="23">
        <f>IF($N30="","",IFERROR(INDEX(Library!$D$3:$D$2000,MATCH($N30,Library!$A$3:$A$2000,0)),"NOT FOUND"))</f>
        <v/>
      </c>
      <c r="R30" s="23">
        <f>IF($N30="","",IFERROR(INDEX(Library!$E$3:$E$2000,MATCH($N30,Library!$A$3:$A$2000,0)),"NOT FOUND"))</f>
        <v/>
      </c>
      <c r="S30" s="23">
        <f>IF($N30="","",IFERROR(INDEX(Library!$F$3:$F$2000,MATCH($N30,Library!$A$3:$A$2000,0)),"NOT FOUND"))</f>
        <v/>
      </c>
      <c r="T30" s="23">
        <f>IF($N30="","",IFERROR(INDEX(Library!$G$3:$G$2000,MATCH($N30,Library!$A$3:$A$2000,0)),"NOT FOUND"))</f>
        <v/>
      </c>
      <c r="U30" s="23">
        <f>IF($N30="","",IFERROR(INDEX(Library!$H$3:$H$2000,MATCH($N30,Library!$A$3:$A$2000,0)),"NOT FOUND"))</f>
        <v/>
      </c>
      <c r="V30" s="23">
        <f>IF($N30="","",IFERROR(INDEX(Library!$I$3:$I$2000,MATCH($N30,Library!$A$3:$A$2000,0)),"NOT FOUND"))</f>
        <v/>
      </c>
      <c r="W30" s="23">
        <f>IF($N30="","",IFERROR(INDEX(Library!$J$3:$J$2000,MATCH($N30,Library!$A$3:$A$2000,0)),"NOT FOUND"))</f>
        <v/>
      </c>
      <c r="X30" s="23">
        <f>IF($N30="","",IFERROR(INDEX(Library!$K$3:$K$2000,MATCH($N30,Library!$A$3:$A$2000,0)),"NOT FOUND"))</f>
        <v/>
      </c>
      <c r="Y30" s="23">
        <f>IF($N30="","",IFERROR(INDEX(Library!$L$3:$L$2000,MATCH($N30,Library!$A$3:$A$2000,0)),"NOT FOUND"))</f>
        <v/>
      </c>
      <c r="Z30" s="23">
        <f>IF($N30="","",IFERROR(INDEX(Library!$M$3:$M$2000,MATCH($N30,Library!$A$3:$A$2000,0)),"NOT FOUND"))</f>
        <v/>
      </c>
      <c r="AA30" s="23">
        <f>IF($N30="","",IFERROR(INDEX(Library!$N$3:$N$2000,MATCH($N30,Library!$A$3:$A$2000,0)),"NOT FOUND"))</f>
        <v/>
      </c>
      <c r="AB30" s="23">
        <f>IF($N30="","",IFERROR(INDEX(Library!$O$3:$O$2000,MATCH($N30,Library!$A$3:$A$2000,0)),"NOT FOUND"))</f>
        <v/>
      </c>
      <c r="AC30" s="24">
        <f>IF($A30="","",IFERROR($D30+$E30,""))</f>
        <v/>
      </c>
      <c r="AD30" s="24">
        <f>IF($A30="","",IFERROR($H30/$D30,""))</f>
        <v/>
      </c>
      <c r="AE30" s="24">
        <f>IF($A30="","",IFERROR($I30/$E30,""))</f>
        <v/>
      </c>
      <c r="AF30" s="24">
        <f>IF($A30="","",IFERROR(($H30+$I30)/$D30,""))</f>
        <v/>
      </c>
      <c r="AG30" s="24">
        <f>IF($A30="","",IFERROR($J30/(SETUP_CP*(SETUP_LPHWF-SETUP_LPHWR)),""))</f>
        <v/>
      </c>
      <c r="AH30" s="24">
        <f>IF($A30="","",IFERROR($K30/(SETUP_CP*(SETUP_CHWR-SETUP_CHWF)),""))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IF($N31="","",IFERROR(INDEX(Library!$B$3:$B$2000,MATCH($N31,Library!$A$3:$A$2000,0)),"NOT FOUND"))</f>
        <v/>
      </c>
      <c r="P31" s="23">
        <f>IF($N31="","",IFERROR(INDEX(Library!$C$3:$C$2000,MATCH($N31,Library!$A$3:$A$2000,0)),"NOT FOUND"))</f>
        <v/>
      </c>
      <c r="Q31" s="23">
        <f>IF($N31="","",IFERROR(INDEX(Library!$D$3:$D$2000,MATCH($N31,Library!$A$3:$A$2000,0)),"NOT FOUND"))</f>
        <v/>
      </c>
      <c r="R31" s="23">
        <f>IF($N31="","",IFERROR(INDEX(Library!$E$3:$E$2000,MATCH($N31,Library!$A$3:$A$2000,0)),"NOT FOUND"))</f>
        <v/>
      </c>
      <c r="S31" s="23">
        <f>IF($N31="","",IFERROR(INDEX(Library!$F$3:$F$2000,MATCH($N31,Library!$A$3:$A$2000,0)),"NOT FOUND"))</f>
        <v/>
      </c>
      <c r="T31" s="23">
        <f>IF($N31="","",IFERROR(INDEX(Library!$G$3:$G$2000,MATCH($N31,Library!$A$3:$A$2000,0)),"NOT FOUND"))</f>
        <v/>
      </c>
      <c r="U31" s="23">
        <f>IF($N31="","",IFERROR(INDEX(Library!$H$3:$H$2000,MATCH($N31,Library!$A$3:$A$2000,0)),"NOT FOUND"))</f>
        <v/>
      </c>
      <c r="V31" s="23">
        <f>IF($N31="","",IFERROR(INDEX(Library!$I$3:$I$2000,MATCH($N31,Library!$A$3:$A$2000,0)),"NOT FOUND"))</f>
        <v/>
      </c>
      <c r="W31" s="23">
        <f>IF($N31="","",IFERROR(INDEX(Library!$J$3:$J$2000,MATCH($N31,Library!$A$3:$A$2000,0)),"NOT FOUND"))</f>
        <v/>
      </c>
      <c r="X31" s="23">
        <f>IF($N31="","",IFERROR(INDEX(Library!$K$3:$K$2000,MATCH($N31,Library!$A$3:$A$2000,0)),"NOT FOUND"))</f>
        <v/>
      </c>
      <c r="Y31" s="23">
        <f>IF($N31="","",IFERROR(INDEX(Library!$L$3:$L$2000,MATCH($N31,Library!$A$3:$A$2000,0)),"NOT FOUND"))</f>
        <v/>
      </c>
      <c r="Z31" s="23">
        <f>IF($N31="","",IFERROR(INDEX(Library!$M$3:$M$2000,MATCH($N31,Library!$A$3:$A$2000,0)),"NOT FOUND"))</f>
        <v/>
      </c>
      <c r="AA31" s="23">
        <f>IF($N31="","",IFERROR(INDEX(Library!$N$3:$N$2000,MATCH($N31,Library!$A$3:$A$2000,0)),"NOT FOUND"))</f>
        <v/>
      </c>
      <c r="AB31" s="23">
        <f>IF($N31="","",IFERROR(INDEX(Library!$O$3:$O$2000,MATCH($N31,Library!$A$3:$A$2000,0)),"NOT FOUND"))</f>
        <v/>
      </c>
      <c r="AC31" s="24">
        <f>IF($A31="","",IFERROR($D31+$E31,""))</f>
        <v/>
      </c>
      <c r="AD31" s="24">
        <f>IF($A31="","",IFERROR($H31/$D31,""))</f>
        <v/>
      </c>
      <c r="AE31" s="24">
        <f>IF($A31="","",IFERROR($I31/$E31,""))</f>
        <v/>
      </c>
      <c r="AF31" s="24">
        <f>IF($A31="","",IFERROR(($H31+$I31)/$D31,""))</f>
        <v/>
      </c>
      <c r="AG31" s="24">
        <f>IF($A31="","",IFERROR($J31/(SETUP_CP*(SETUP_LPHWF-SETUP_LPHWR)),""))</f>
        <v/>
      </c>
      <c r="AH31" s="24">
        <f>IF($A31="","",IFERROR($K31/(SETUP_CP*(SETUP_CHWR-SETUP_CHWF)),""))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IF($N32="","",IFERROR(INDEX(Library!$B$3:$B$2000,MATCH($N32,Library!$A$3:$A$2000,0)),"NOT FOUND"))</f>
        <v/>
      </c>
      <c r="P32" s="23">
        <f>IF($N32="","",IFERROR(INDEX(Library!$C$3:$C$2000,MATCH($N32,Library!$A$3:$A$2000,0)),"NOT FOUND"))</f>
        <v/>
      </c>
      <c r="Q32" s="23">
        <f>IF($N32="","",IFERROR(INDEX(Library!$D$3:$D$2000,MATCH($N32,Library!$A$3:$A$2000,0)),"NOT FOUND"))</f>
        <v/>
      </c>
      <c r="R32" s="23">
        <f>IF($N32="","",IFERROR(INDEX(Library!$E$3:$E$2000,MATCH($N32,Library!$A$3:$A$2000,0)),"NOT FOUND"))</f>
        <v/>
      </c>
      <c r="S32" s="23">
        <f>IF($N32="","",IFERROR(INDEX(Library!$F$3:$F$2000,MATCH($N32,Library!$A$3:$A$2000,0)),"NOT FOUND"))</f>
        <v/>
      </c>
      <c r="T32" s="23">
        <f>IF($N32="","",IFERROR(INDEX(Library!$G$3:$G$2000,MATCH($N32,Library!$A$3:$A$2000,0)),"NOT FOUND"))</f>
        <v/>
      </c>
      <c r="U32" s="23">
        <f>IF($N32="","",IFERROR(INDEX(Library!$H$3:$H$2000,MATCH($N32,Library!$A$3:$A$2000,0)),"NOT FOUND"))</f>
        <v/>
      </c>
      <c r="V32" s="23">
        <f>IF($N32="","",IFERROR(INDEX(Library!$I$3:$I$2000,MATCH($N32,Library!$A$3:$A$2000,0)),"NOT FOUND"))</f>
        <v/>
      </c>
      <c r="W32" s="23">
        <f>IF($N32="","",IFERROR(INDEX(Library!$J$3:$J$2000,MATCH($N32,Library!$A$3:$A$2000,0)),"NOT FOUND"))</f>
        <v/>
      </c>
      <c r="X32" s="23">
        <f>IF($N32="","",IFERROR(INDEX(Library!$K$3:$K$2000,MATCH($N32,Library!$A$3:$A$2000,0)),"NOT FOUND"))</f>
        <v/>
      </c>
      <c r="Y32" s="23">
        <f>IF($N32="","",IFERROR(INDEX(Library!$L$3:$L$2000,MATCH($N32,Library!$A$3:$A$2000,0)),"NOT FOUND"))</f>
        <v/>
      </c>
      <c r="Z32" s="23">
        <f>IF($N32="","",IFERROR(INDEX(Library!$M$3:$M$2000,MATCH($N32,Library!$A$3:$A$2000,0)),"NOT FOUND"))</f>
        <v/>
      </c>
      <c r="AA32" s="23">
        <f>IF($N32="","",IFERROR(INDEX(Library!$N$3:$N$2000,MATCH($N32,Library!$A$3:$A$2000,0)),"NOT FOUND"))</f>
        <v/>
      </c>
      <c r="AB32" s="23">
        <f>IF($N32="","",IFERROR(INDEX(Library!$O$3:$O$2000,MATCH($N32,Library!$A$3:$A$2000,0)),"NOT FOUND"))</f>
        <v/>
      </c>
      <c r="AC32" s="24">
        <f>IF($A32="","",IFERROR($D32+$E32,""))</f>
        <v/>
      </c>
      <c r="AD32" s="24">
        <f>IF($A32="","",IFERROR($H32/$D32,""))</f>
        <v/>
      </c>
      <c r="AE32" s="24">
        <f>IF($A32="","",IFERROR($I32/$E32,""))</f>
        <v/>
      </c>
      <c r="AF32" s="24">
        <f>IF($A32="","",IFERROR(($H32+$I32)/$D32,""))</f>
        <v/>
      </c>
      <c r="AG32" s="24">
        <f>IF($A32="","",IFERROR($J32/(SETUP_CP*(SETUP_LPHWF-SETUP_LPHWR)),""))</f>
        <v/>
      </c>
      <c r="AH32" s="24">
        <f>IF($A32="","",IFERROR($K32/(SETUP_CP*(SETUP_CHWR-SETUP_CHWF)),""))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IF($N33="","",IFERROR(INDEX(Library!$B$3:$B$2000,MATCH($N33,Library!$A$3:$A$2000,0)),"NOT FOUND"))</f>
        <v/>
      </c>
      <c r="P33" s="23">
        <f>IF($N33="","",IFERROR(INDEX(Library!$C$3:$C$2000,MATCH($N33,Library!$A$3:$A$2000,0)),"NOT FOUND"))</f>
        <v/>
      </c>
      <c r="Q33" s="23">
        <f>IF($N33="","",IFERROR(INDEX(Library!$D$3:$D$2000,MATCH($N33,Library!$A$3:$A$2000,0)),"NOT FOUND"))</f>
        <v/>
      </c>
      <c r="R33" s="23">
        <f>IF($N33="","",IFERROR(INDEX(Library!$E$3:$E$2000,MATCH($N33,Library!$A$3:$A$2000,0)),"NOT FOUND"))</f>
        <v/>
      </c>
      <c r="S33" s="23">
        <f>IF($N33="","",IFERROR(INDEX(Library!$F$3:$F$2000,MATCH($N33,Library!$A$3:$A$2000,0)),"NOT FOUND"))</f>
        <v/>
      </c>
      <c r="T33" s="23">
        <f>IF($N33="","",IFERROR(INDEX(Library!$G$3:$G$2000,MATCH($N33,Library!$A$3:$A$2000,0)),"NOT FOUND"))</f>
        <v/>
      </c>
      <c r="U33" s="23">
        <f>IF($N33="","",IFERROR(INDEX(Library!$H$3:$H$2000,MATCH($N33,Library!$A$3:$A$2000,0)),"NOT FOUND"))</f>
        <v/>
      </c>
      <c r="V33" s="23">
        <f>IF($N33="","",IFERROR(INDEX(Library!$I$3:$I$2000,MATCH($N33,Library!$A$3:$A$2000,0)),"NOT FOUND"))</f>
        <v/>
      </c>
      <c r="W33" s="23">
        <f>IF($N33="","",IFERROR(INDEX(Library!$J$3:$J$2000,MATCH($N33,Library!$A$3:$A$2000,0)),"NOT FOUND"))</f>
        <v/>
      </c>
      <c r="X33" s="23">
        <f>IF($N33="","",IFERROR(INDEX(Library!$K$3:$K$2000,MATCH($N33,Library!$A$3:$A$2000,0)),"NOT FOUND"))</f>
        <v/>
      </c>
      <c r="Y33" s="23">
        <f>IF($N33="","",IFERROR(INDEX(Library!$L$3:$L$2000,MATCH($N33,Library!$A$3:$A$2000,0)),"NOT FOUND"))</f>
        <v/>
      </c>
      <c r="Z33" s="23">
        <f>IF($N33="","",IFERROR(INDEX(Library!$M$3:$M$2000,MATCH($N33,Library!$A$3:$A$2000,0)),"NOT FOUND"))</f>
        <v/>
      </c>
      <c r="AA33" s="23">
        <f>IF($N33="","",IFERROR(INDEX(Library!$N$3:$N$2000,MATCH($N33,Library!$A$3:$A$2000,0)),"NOT FOUND"))</f>
        <v/>
      </c>
      <c r="AB33" s="23">
        <f>IF($N33="","",IFERROR(INDEX(Library!$O$3:$O$2000,MATCH($N33,Library!$A$3:$A$2000,0)),"NOT FOUND"))</f>
        <v/>
      </c>
      <c r="AC33" s="24">
        <f>IF($A33="","",IFERROR($D33+$E33,""))</f>
        <v/>
      </c>
      <c r="AD33" s="24">
        <f>IF($A33="","",IFERROR($H33/$D33,""))</f>
        <v/>
      </c>
      <c r="AE33" s="24">
        <f>IF($A33="","",IFERROR($I33/$E33,""))</f>
        <v/>
      </c>
      <c r="AF33" s="24">
        <f>IF($A33="","",IFERROR(($H33+$I33)/$D33,""))</f>
        <v/>
      </c>
      <c r="AG33" s="24">
        <f>IF($A33="","",IFERROR($J33/(SETUP_CP*(SETUP_LPHWF-SETUP_LPHWR)),""))</f>
        <v/>
      </c>
      <c r="AH33" s="24">
        <f>IF($A33="","",IFERROR($K33/(SETUP_CP*(SETUP_CHWR-SETUP_CHWF)),""))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IF($N34="","",IFERROR(INDEX(Library!$B$3:$B$2000,MATCH($N34,Library!$A$3:$A$2000,0)),"NOT FOUND"))</f>
        <v/>
      </c>
      <c r="P34" s="23">
        <f>IF($N34="","",IFERROR(INDEX(Library!$C$3:$C$2000,MATCH($N34,Library!$A$3:$A$2000,0)),"NOT FOUND"))</f>
        <v/>
      </c>
      <c r="Q34" s="23">
        <f>IF($N34="","",IFERROR(INDEX(Library!$D$3:$D$2000,MATCH($N34,Library!$A$3:$A$2000,0)),"NOT FOUND"))</f>
        <v/>
      </c>
      <c r="R34" s="23">
        <f>IF($N34="","",IFERROR(INDEX(Library!$E$3:$E$2000,MATCH($N34,Library!$A$3:$A$2000,0)),"NOT FOUND"))</f>
        <v/>
      </c>
      <c r="S34" s="23">
        <f>IF($N34="","",IFERROR(INDEX(Library!$F$3:$F$2000,MATCH($N34,Library!$A$3:$A$2000,0)),"NOT FOUND"))</f>
        <v/>
      </c>
      <c r="T34" s="23">
        <f>IF($N34="","",IFERROR(INDEX(Library!$G$3:$G$2000,MATCH($N34,Library!$A$3:$A$2000,0)),"NOT FOUND"))</f>
        <v/>
      </c>
      <c r="U34" s="23">
        <f>IF($N34="","",IFERROR(INDEX(Library!$H$3:$H$2000,MATCH($N34,Library!$A$3:$A$2000,0)),"NOT FOUND"))</f>
        <v/>
      </c>
      <c r="V34" s="23">
        <f>IF($N34="","",IFERROR(INDEX(Library!$I$3:$I$2000,MATCH($N34,Library!$A$3:$A$2000,0)),"NOT FOUND"))</f>
        <v/>
      </c>
      <c r="W34" s="23">
        <f>IF($N34="","",IFERROR(INDEX(Library!$J$3:$J$2000,MATCH($N34,Library!$A$3:$A$2000,0)),"NOT FOUND"))</f>
        <v/>
      </c>
      <c r="X34" s="23">
        <f>IF($N34="","",IFERROR(INDEX(Library!$K$3:$K$2000,MATCH($N34,Library!$A$3:$A$2000,0)),"NOT FOUND"))</f>
        <v/>
      </c>
      <c r="Y34" s="23">
        <f>IF($N34="","",IFERROR(INDEX(Library!$L$3:$L$2000,MATCH($N34,Library!$A$3:$A$2000,0)),"NOT FOUND"))</f>
        <v/>
      </c>
      <c r="Z34" s="23">
        <f>IF($N34="","",IFERROR(INDEX(Library!$M$3:$M$2000,MATCH($N34,Library!$A$3:$A$2000,0)),"NOT FOUND"))</f>
        <v/>
      </c>
      <c r="AA34" s="23">
        <f>IF($N34="","",IFERROR(INDEX(Library!$N$3:$N$2000,MATCH($N34,Library!$A$3:$A$2000,0)),"NOT FOUND"))</f>
        <v/>
      </c>
      <c r="AB34" s="23">
        <f>IF($N34="","",IFERROR(INDEX(Library!$O$3:$O$2000,MATCH($N34,Library!$A$3:$A$2000,0)),"NOT FOUND"))</f>
        <v/>
      </c>
      <c r="AC34" s="24">
        <f>IF($A34="","",IFERROR($D34+$E34,""))</f>
        <v/>
      </c>
      <c r="AD34" s="24">
        <f>IF($A34="","",IFERROR($H34/$D34,""))</f>
        <v/>
      </c>
      <c r="AE34" s="24">
        <f>IF($A34="","",IFERROR($I34/$E34,""))</f>
        <v/>
      </c>
      <c r="AF34" s="24">
        <f>IF($A34="","",IFERROR(($H34+$I34)/$D34,""))</f>
        <v/>
      </c>
      <c r="AG34" s="24">
        <f>IF($A34="","",IFERROR($J34/(SETUP_CP*(SETUP_LPHWF-SETUP_LPHWR)),""))</f>
        <v/>
      </c>
      <c r="AH34" s="24">
        <f>IF($A34="","",IFERROR($K34/(SETUP_CP*(SETUP_CHWR-SETUP_CHWF)),""))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IF($N35="","",IFERROR(INDEX(Library!$B$3:$B$2000,MATCH($N35,Library!$A$3:$A$2000,0)),"NOT FOUND"))</f>
        <v/>
      </c>
      <c r="P35" s="23">
        <f>IF($N35="","",IFERROR(INDEX(Library!$C$3:$C$2000,MATCH($N35,Library!$A$3:$A$2000,0)),"NOT FOUND"))</f>
        <v/>
      </c>
      <c r="Q35" s="23">
        <f>IF($N35="","",IFERROR(INDEX(Library!$D$3:$D$2000,MATCH($N35,Library!$A$3:$A$2000,0)),"NOT FOUND"))</f>
        <v/>
      </c>
      <c r="R35" s="23">
        <f>IF($N35="","",IFERROR(INDEX(Library!$E$3:$E$2000,MATCH($N35,Library!$A$3:$A$2000,0)),"NOT FOUND"))</f>
        <v/>
      </c>
      <c r="S35" s="23">
        <f>IF($N35="","",IFERROR(INDEX(Library!$F$3:$F$2000,MATCH($N35,Library!$A$3:$A$2000,0)),"NOT FOUND"))</f>
        <v/>
      </c>
      <c r="T35" s="23">
        <f>IF($N35="","",IFERROR(INDEX(Library!$G$3:$G$2000,MATCH($N35,Library!$A$3:$A$2000,0)),"NOT FOUND"))</f>
        <v/>
      </c>
      <c r="U35" s="23">
        <f>IF($N35="","",IFERROR(INDEX(Library!$H$3:$H$2000,MATCH($N35,Library!$A$3:$A$2000,0)),"NOT FOUND"))</f>
        <v/>
      </c>
      <c r="V35" s="23">
        <f>IF($N35="","",IFERROR(INDEX(Library!$I$3:$I$2000,MATCH($N35,Library!$A$3:$A$2000,0)),"NOT FOUND"))</f>
        <v/>
      </c>
      <c r="W35" s="23">
        <f>IF($N35="","",IFERROR(INDEX(Library!$J$3:$J$2000,MATCH($N35,Library!$A$3:$A$2000,0)),"NOT FOUND"))</f>
        <v/>
      </c>
      <c r="X35" s="23">
        <f>IF($N35="","",IFERROR(INDEX(Library!$K$3:$K$2000,MATCH($N35,Library!$A$3:$A$2000,0)),"NOT FOUND"))</f>
        <v/>
      </c>
      <c r="Y35" s="23">
        <f>IF($N35="","",IFERROR(INDEX(Library!$L$3:$L$2000,MATCH($N35,Library!$A$3:$A$2000,0)),"NOT FOUND"))</f>
        <v/>
      </c>
      <c r="Z35" s="23">
        <f>IF($N35="","",IFERROR(INDEX(Library!$M$3:$M$2000,MATCH($N35,Library!$A$3:$A$2000,0)),"NOT FOUND"))</f>
        <v/>
      </c>
      <c r="AA35" s="23">
        <f>IF($N35="","",IFERROR(INDEX(Library!$N$3:$N$2000,MATCH($N35,Library!$A$3:$A$2000,0)),"NOT FOUND"))</f>
        <v/>
      </c>
      <c r="AB35" s="23">
        <f>IF($N35="","",IFERROR(INDEX(Library!$O$3:$O$2000,MATCH($N35,Library!$A$3:$A$2000,0)),"NOT FOUND"))</f>
        <v/>
      </c>
      <c r="AC35" s="24">
        <f>IF($A35="","",IFERROR($D35+$E35,""))</f>
        <v/>
      </c>
      <c r="AD35" s="24">
        <f>IF($A35="","",IFERROR($H35/$D35,""))</f>
        <v/>
      </c>
      <c r="AE35" s="24">
        <f>IF($A35="","",IFERROR($I35/$E35,""))</f>
        <v/>
      </c>
      <c r="AF35" s="24">
        <f>IF($A35="","",IFERROR(($H35+$I35)/$D35,""))</f>
        <v/>
      </c>
      <c r="AG35" s="24">
        <f>IF($A35="","",IFERROR($J35/(SETUP_CP*(SETUP_LPHWF-SETUP_LPHWR)),""))</f>
        <v/>
      </c>
      <c r="AH35" s="24">
        <f>IF($A35="","",IFERROR($K35/(SETUP_CP*(SETUP_CHWR-SETUP_CHWF)),""))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IF($N36="","",IFERROR(INDEX(Library!$B$3:$B$2000,MATCH($N36,Library!$A$3:$A$2000,0)),"NOT FOUND"))</f>
        <v/>
      </c>
      <c r="P36" s="23">
        <f>IF($N36="","",IFERROR(INDEX(Library!$C$3:$C$2000,MATCH($N36,Library!$A$3:$A$2000,0)),"NOT FOUND"))</f>
        <v/>
      </c>
      <c r="Q36" s="23">
        <f>IF($N36="","",IFERROR(INDEX(Library!$D$3:$D$2000,MATCH($N36,Library!$A$3:$A$2000,0)),"NOT FOUND"))</f>
        <v/>
      </c>
      <c r="R36" s="23">
        <f>IF($N36="","",IFERROR(INDEX(Library!$E$3:$E$2000,MATCH($N36,Library!$A$3:$A$2000,0)),"NOT FOUND"))</f>
        <v/>
      </c>
      <c r="S36" s="23">
        <f>IF($N36="","",IFERROR(INDEX(Library!$F$3:$F$2000,MATCH($N36,Library!$A$3:$A$2000,0)),"NOT FOUND"))</f>
        <v/>
      </c>
      <c r="T36" s="23">
        <f>IF($N36="","",IFERROR(INDEX(Library!$G$3:$G$2000,MATCH($N36,Library!$A$3:$A$2000,0)),"NOT FOUND"))</f>
        <v/>
      </c>
      <c r="U36" s="23">
        <f>IF($N36="","",IFERROR(INDEX(Library!$H$3:$H$2000,MATCH($N36,Library!$A$3:$A$2000,0)),"NOT FOUND"))</f>
        <v/>
      </c>
      <c r="V36" s="23">
        <f>IF($N36="","",IFERROR(INDEX(Library!$I$3:$I$2000,MATCH($N36,Library!$A$3:$A$2000,0)),"NOT FOUND"))</f>
        <v/>
      </c>
      <c r="W36" s="23">
        <f>IF($N36="","",IFERROR(INDEX(Library!$J$3:$J$2000,MATCH($N36,Library!$A$3:$A$2000,0)),"NOT FOUND"))</f>
        <v/>
      </c>
      <c r="X36" s="23">
        <f>IF($N36="","",IFERROR(INDEX(Library!$K$3:$K$2000,MATCH($N36,Library!$A$3:$A$2000,0)),"NOT FOUND"))</f>
        <v/>
      </c>
      <c r="Y36" s="23">
        <f>IF($N36="","",IFERROR(INDEX(Library!$L$3:$L$2000,MATCH($N36,Library!$A$3:$A$2000,0)),"NOT FOUND"))</f>
        <v/>
      </c>
      <c r="Z36" s="23">
        <f>IF($N36="","",IFERROR(INDEX(Library!$M$3:$M$2000,MATCH($N36,Library!$A$3:$A$2000,0)),"NOT FOUND"))</f>
        <v/>
      </c>
      <c r="AA36" s="23">
        <f>IF($N36="","",IFERROR(INDEX(Library!$N$3:$N$2000,MATCH($N36,Library!$A$3:$A$2000,0)),"NOT FOUND"))</f>
        <v/>
      </c>
      <c r="AB36" s="23">
        <f>IF($N36="","",IFERROR(INDEX(Library!$O$3:$O$2000,MATCH($N36,Library!$A$3:$A$2000,0)),"NOT FOUND"))</f>
        <v/>
      </c>
      <c r="AC36" s="24">
        <f>IF($A36="","",IFERROR($D36+$E36,""))</f>
        <v/>
      </c>
      <c r="AD36" s="24">
        <f>IF($A36="","",IFERROR($H36/$D36,""))</f>
        <v/>
      </c>
      <c r="AE36" s="24">
        <f>IF($A36="","",IFERROR($I36/$E36,""))</f>
        <v/>
      </c>
      <c r="AF36" s="24">
        <f>IF($A36="","",IFERROR(($H36+$I36)/$D36,""))</f>
        <v/>
      </c>
      <c r="AG36" s="24">
        <f>IF($A36="","",IFERROR($J36/(SETUP_CP*(SETUP_LPHWF-SETUP_LPHWR)),""))</f>
        <v/>
      </c>
      <c r="AH36" s="24">
        <f>IF($A36="","",IFERROR($K36/(SETUP_CP*(SETUP_CHWR-SETUP_CHWF)),""))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IF($N37="","",IFERROR(INDEX(Library!$B$3:$B$2000,MATCH($N37,Library!$A$3:$A$2000,0)),"NOT FOUND"))</f>
        <v/>
      </c>
      <c r="P37" s="23">
        <f>IF($N37="","",IFERROR(INDEX(Library!$C$3:$C$2000,MATCH($N37,Library!$A$3:$A$2000,0)),"NOT FOUND"))</f>
        <v/>
      </c>
      <c r="Q37" s="23">
        <f>IF($N37="","",IFERROR(INDEX(Library!$D$3:$D$2000,MATCH($N37,Library!$A$3:$A$2000,0)),"NOT FOUND"))</f>
        <v/>
      </c>
      <c r="R37" s="23">
        <f>IF($N37="","",IFERROR(INDEX(Library!$E$3:$E$2000,MATCH($N37,Library!$A$3:$A$2000,0)),"NOT FOUND"))</f>
        <v/>
      </c>
      <c r="S37" s="23">
        <f>IF($N37="","",IFERROR(INDEX(Library!$F$3:$F$2000,MATCH($N37,Library!$A$3:$A$2000,0)),"NOT FOUND"))</f>
        <v/>
      </c>
      <c r="T37" s="23">
        <f>IF($N37="","",IFERROR(INDEX(Library!$G$3:$G$2000,MATCH($N37,Library!$A$3:$A$2000,0)),"NOT FOUND"))</f>
        <v/>
      </c>
      <c r="U37" s="23">
        <f>IF($N37="","",IFERROR(INDEX(Library!$H$3:$H$2000,MATCH($N37,Library!$A$3:$A$2000,0)),"NOT FOUND"))</f>
        <v/>
      </c>
      <c r="V37" s="23">
        <f>IF($N37="","",IFERROR(INDEX(Library!$I$3:$I$2000,MATCH($N37,Library!$A$3:$A$2000,0)),"NOT FOUND"))</f>
        <v/>
      </c>
      <c r="W37" s="23">
        <f>IF($N37="","",IFERROR(INDEX(Library!$J$3:$J$2000,MATCH($N37,Library!$A$3:$A$2000,0)),"NOT FOUND"))</f>
        <v/>
      </c>
      <c r="X37" s="23">
        <f>IF($N37="","",IFERROR(INDEX(Library!$K$3:$K$2000,MATCH($N37,Library!$A$3:$A$2000,0)),"NOT FOUND"))</f>
        <v/>
      </c>
      <c r="Y37" s="23">
        <f>IF($N37="","",IFERROR(INDEX(Library!$L$3:$L$2000,MATCH($N37,Library!$A$3:$A$2000,0)),"NOT FOUND"))</f>
        <v/>
      </c>
      <c r="Z37" s="23">
        <f>IF($N37="","",IFERROR(INDEX(Library!$M$3:$M$2000,MATCH($N37,Library!$A$3:$A$2000,0)),"NOT FOUND"))</f>
        <v/>
      </c>
      <c r="AA37" s="23">
        <f>IF($N37="","",IFERROR(INDEX(Library!$N$3:$N$2000,MATCH($N37,Library!$A$3:$A$2000,0)),"NOT FOUND"))</f>
        <v/>
      </c>
      <c r="AB37" s="23">
        <f>IF($N37="","",IFERROR(INDEX(Library!$O$3:$O$2000,MATCH($N37,Library!$A$3:$A$2000,0)),"NOT FOUND"))</f>
        <v/>
      </c>
      <c r="AC37" s="24">
        <f>IF($A37="","",IFERROR($D37+$E37,""))</f>
        <v/>
      </c>
      <c r="AD37" s="24">
        <f>IF($A37="","",IFERROR($H37/$D37,""))</f>
        <v/>
      </c>
      <c r="AE37" s="24">
        <f>IF($A37="","",IFERROR($I37/$E37,""))</f>
        <v/>
      </c>
      <c r="AF37" s="24">
        <f>IF($A37="","",IFERROR(($H37+$I37)/$D37,""))</f>
        <v/>
      </c>
      <c r="AG37" s="24">
        <f>IF($A37="","",IFERROR($J37/(SETUP_CP*(SETUP_LPHWF-SETUP_LPHWR)),""))</f>
        <v/>
      </c>
      <c r="AH37" s="24">
        <f>IF($A37="","",IFERROR($K37/(SETUP_CP*(SETUP_CHWR-SETUP_CHWF)),""))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IF($N38="","",IFERROR(INDEX(Library!$B$3:$B$2000,MATCH($N38,Library!$A$3:$A$2000,0)),"NOT FOUND"))</f>
        <v/>
      </c>
      <c r="P38" s="23">
        <f>IF($N38="","",IFERROR(INDEX(Library!$C$3:$C$2000,MATCH($N38,Library!$A$3:$A$2000,0)),"NOT FOUND"))</f>
        <v/>
      </c>
      <c r="Q38" s="23">
        <f>IF($N38="","",IFERROR(INDEX(Library!$D$3:$D$2000,MATCH($N38,Library!$A$3:$A$2000,0)),"NOT FOUND"))</f>
        <v/>
      </c>
      <c r="R38" s="23">
        <f>IF($N38="","",IFERROR(INDEX(Library!$E$3:$E$2000,MATCH($N38,Library!$A$3:$A$2000,0)),"NOT FOUND"))</f>
        <v/>
      </c>
      <c r="S38" s="23">
        <f>IF($N38="","",IFERROR(INDEX(Library!$F$3:$F$2000,MATCH($N38,Library!$A$3:$A$2000,0)),"NOT FOUND"))</f>
        <v/>
      </c>
      <c r="T38" s="23">
        <f>IF($N38="","",IFERROR(INDEX(Library!$G$3:$G$2000,MATCH($N38,Library!$A$3:$A$2000,0)),"NOT FOUND"))</f>
        <v/>
      </c>
      <c r="U38" s="23">
        <f>IF($N38="","",IFERROR(INDEX(Library!$H$3:$H$2000,MATCH($N38,Library!$A$3:$A$2000,0)),"NOT FOUND"))</f>
        <v/>
      </c>
      <c r="V38" s="23">
        <f>IF($N38="","",IFERROR(INDEX(Library!$I$3:$I$2000,MATCH($N38,Library!$A$3:$A$2000,0)),"NOT FOUND"))</f>
        <v/>
      </c>
      <c r="W38" s="23">
        <f>IF($N38="","",IFERROR(INDEX(Library!$J$3:$J$2000,MATCH($N38,Library!$A$3:$A$2000,0)),"NOT FOUND"))</f>
        <v/>
      </c>
      <c r="X38" s="23">
        <f>IF($N38="","",IFERROR(INDEX(Library!$K$3:$K$2000,MATCH($N38,Library!$A$3:$A$2000,0)),"NOT FOUND"))</f>
        <v/>
      </c>
      <c r="Y38" s="23">
        <f>IF($N38="","",IFERROR(INDEX(Library!$L$3:$L$2000,MATCH($N38,Library!$A$3:$A$2000,0)),"NOT FOUND"))</f>
        <v/>
      </c>
      <c r="Z38" s="23">
        <f>IF($N38="","",IFERROR(INDEX(Library!$M$3:$M$2000,MATCH($N38,Library!$A$3:$A$2000,0)),"NOT FOUND"))</f>
        <v/>
      </c>
      <c r="AA38" s="23">
        <f>IF($N38="","",IFERROR(INDEX(Library!$N$3:$N$2000,MATCH($N38,Library!$A$3:$A$2000,0)),"NOT FOUND"))</f>
        <v/>
      </c>
      <c r="AB38" s="23">
        <f>IF($N38="","",IFERROR(INDEX(Library!$O$3:$O$2000,MATCH($N38,Library!$A$3:$A$2000,0)),"NOT FOUND"))</f>
        <v/>
      </c>
      <c r="AC38" s="24">
        <f>IF($A38="","",IFERROR($D38+$E38,""))</f>
        <v/>
      </c>
      <c r="AD38" s="24">
        <f>IF($A38="","",IFERROR($H38/$D38,""))</f>
        <v/>
      </c>
      <c r="AE38" s="24">
        <f>IF($A38="","",IFERROR($I38/$E38,""))</f>
        <v/>
      </c>
      <c r="AF38" s="24">
        <f>IF($A38="","",IFERROR(($H38+$I38)/$D38,""))</f>
        <v/>
      </c>
      <c r="AG38" s="24">
        <f>IF($A38="","",IFERROR($J38/(SETUP_CP*(SETUP_LPHWF-SETUP_LPHWR)),""))</f>
        <v/>
      </c>
      <c r="AH38" s="24">
        <f>IF($A38="","",IFERROR($K38/(SETUP_CP*(SETUP_CHWR-SETUP_CHWF)),""))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IF($N39="","",IFERROR(INDEX(Library!$B$3:$B$2000,MATCH($N39,Library!$A$3:$A$2000,0)),"NOT FOUND"))</f>
        <v/>
      </c>
      <c r="P39" s="23">
        <f>IF($N39="","",IFERROR(INDEX(Library!$C$3:$C$2000,MATCH($N39,Library!$A$3:$A$2000,0)),"NOT FOUND"))</f>
        <v/>
      </c>
      <c r="Q39" s="23">
        <f>IF($N39="","",IFERROR(INDEX(Library!$D$3:$D$2000,MATCH($N39,Library!$A$3:$A$2000,0)),"NOT FOUND"))</f>
        <v/>
      </c>
      <c r="R39" s="23">
        <f>IF($N39="","",IFERROR(INDEX(Library!$E$3:$E$2000,MATCH($N39,Library!$A$3:$A$2000,0)),"NOT FOUND"))</f>
        <v/>
      </c>
      <c r="S39" s="23">
        <f>IF($N39="","",IFERROR(INDEX(Library!$F$3:$F$2000,MATCH($N39,Library!$A$3:$A$2000,0)),"NOT FOUND"))</f>
        <v/>
      </c>
      <c r="T39" s="23">
        <f>IF($N39="","",IFERROR(INDEX(Library!$G$3:$G$2000,MATCH($N39,Library!$A$3:$A$2000,0)),"NOT FOUND"))</f>
        <v/>
      </c>
      <c r="U39" s="23">
        <f>IF($N39="","",IFERROR(INDEX(Library!$H$3:$H$2000,MATCH($N39,Library!$A$3:$A$2000,0)),"NOT FOUND"))</f>
        <v/>
      </c>
      <c r="V39" s="23">
        <f>IF($N39="","",IFERROR(INDEX(Library!$I$3:$I$2000,MATCH($N39,Library!$A$3:$A$2000,0)),"NOT FOUND"))</f>
        <v/>
      </c>
      <c r="W39" s="23">
        <f>IF($N39="","",IFERROR(INDEX(Library!$J$3:$J$2000,MATCH($N39,Library!$A$3:$A$2000,0)),"NOT FOUND"))</f>
        <v/>
      </c>
      <c r="X39" s="23">
        <f>IF($N39="","",IFERROR(INDEX(Library!$K$3:$K$2000,MATCH($N39,Library!$A$3:$A$2000,0)),"NOT FOUND"))</f>
        <v/>
      </c>
      <c r="Y39" s="23">
        <f>IF($N39="","",IFERROR(INDEX(Library!$L$3:$L$2000,MATCH($N39,Library!$A$3:$A$2000,0)),"NOT FOUND"))</f>
        <v/>
      </c>
      <c r="Z39" s="23">
        <f>IF($N39="","",IFERROR(INDEX(Library!$M$3:$M$2000,MATCH($N39,Library!$A$3:$A$2000,0)),"NOT FOUND"))</f>
        <v/>
      </c>
      <c r="AA39" s="23">
        <f>IF($N39="","",IFERROR(INDEX(Library!$N$3:$N$2000,MATCH($N39,Library!$A$3:$A$2000,0)),"NOT FOUND"))</f>
        <v/>
      </c>
      <c r="AB39" s="23">
        <f>IF($N39="","",IFERROR(INDEX(Library!$O$3:$O$2000,MATCH($N39,Library!$A$3:$A$2000,0)),"NOT FOUND"))</f>
        <v/>
      </c>
      <c r="AC39" s="24">
        <f>IF($A39="","",IFERROR($D39+$E39,""))</f>
        <v/>
      </c>
      <c r="AD39" s="24">
        <f>IF($A39="","",IFERROR($H39/$D39,""))</f>
        <v/>
      </c>
      <c r="AE39" s="24">
        <f>IF($A39="","",IFERROR($I39/$E39,""))</f>
        <v/>
      </c>
      <c r="AF39" s="24">
        <f>IF($A39="","",IFERROR(($H39+$I39)/$D39,""))</f>
        <v/>
      </c>
      <c r="AG39" s="24">
        <f>IF($A39="","",IFERROR($J39/(SETUP_CP*(SETUP_LPHWF-SETUP_LPHWR)),""))</f>
        <v/>
      </c>
      <c r="AH39" s="24">
        <f>IF($A39="","",IFERROR($K39/(SETUP_CP*(SETUP_CHWR-SETUP_CHWF)),""))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IF($N40="","",IFERROR(INDEX(Library!$B$3:$B$2000,MATCH($N40,Library!$A$3:$A$2000,0)),"NOT FOUND"))</f>
        <v/>
      </c>
      <c r="P40" s="23">
        <f>IF($N40="","",IFERROR(INDEX(Library!$C$3:$C$2000,MATCH($N40,Library!$A$3:$A$2000,0)),"NOT FOUND"))</f>
        <v/>
      </c>
      <c r="Q40" s="23">
        <f>IF($N40="","",IFERROR(INDEX(Library!$D$3:$D$2000,MATCH($N40,Library!$A$3:$A$2000,0)),"NOT FOUND"))</f>
        <v/>
      </c>
      <c r="R40" s="23">
        <f>IF($N40="","",IFERROR(INDEX(Library!$E$3:$E$2000,MATCH($N40,Library!$A$3:$A$2000,0)),"NOT FOUND"))</f>
        <v/>
      </c>
      <c r="S40" s="23">
        <f>IF($N40="","",IFERROR(INDEX(Library!$F$3:$F$2000,MATCH($N40,Library!$A$3:$A$2000,0)),"NOT FOUND"))</f>
        <v/>
      </c>
      <c r="T40" s="23">
        <f>IF($N40="","",IFERROR(INDEX(Library!$G$3:$G$2000,MATCH($N40,Library!$A$3:$A$2000,0)),"NOT FOUND"))</f>
        <v/>
      </c>
      <c r="U40" s="23">
        <f>IF($N40="","",IFERROR(INDEX(Library!$H$3:$H$2000,MATCH($N40,Library!$A$3:$A$2000,0)),"NOT FOUND"))</f>
        <v/>
      </c>
      <c r="V40" s="23">
        <f>IF($N40="","",IFERROR(INDEX(Library!$I$3:$I$2000,MATCH($N40,Library!$A$3:$A$2000,0)),"NOT FOUND"))</f>
        <v/>
      </c>
      <c r="W40" s="23">
        <f>IF($N40="","",IFERROR(INDEX(Library!$J$3:$J$2000,MATCH($N40,Library!$A$3:$A$2000,0)),"NOT FOUND"))</f>
        <v/>
      </c>
      <c r="X40" s="23">
        <f>IF($N40="","",IFERROR(INDEX(Library!$K$3:$K$2000,MATCH($N40,Library!$A$3:$A$2000,0)),"NOT FOUND"))</f>
        <v/>
      </c>
      <c r="Y40" s="23">
        <f>IF($N40="","",IFERROR(INDEX(Library!$L$3:$L$2000,MATCH($N40,Library!$A$3:$A$2000,0)),"NOT FOUND"))</f>
        <v/>
      </c>
      <c r="Z40" s="23">
        <f>IF($N40="","",IFERROR(INDEX(Library!$M$3:$M$2000,MATCH($N40,Library!$A$3:$A$2000,0)),"NOT FOUND"))</f>
        <v/>
      </c>
      <c r="AA40" s="23">
        <f>IF($N40="","",IFERROR(INDEX(Library!$N$3:$N$2000,MATCH($N40,Library!$A$3:$A$2000,0)),"NOT FOUND"))</f>
        <v/>
      </c>
      <c r="AB40" s="23">
        <f>IF($N40="","",IFERROR(INDEX(Library!$O$3:$O$2000,MATCH($N40,Library!$A$3:$A$2000,0)),"NOT FOUND"))</f>
        <v/>
      </c>
      <c r="AC40" s="24">
        <f>IF($A40="","",IFERROR($D40+$E40,""))</f>
        <v/>
      </c>
      <c r="AD40" s="24">
        <f>IF($A40="","",IFERROR($H40/$D40,""))</f>
        <v/>
      </c>
      <c r="AE40" s="24">
        <f>IF($A40="","",IFERROR($I40/$E40,""))</f>
        <v/>
      </c>
      <c r="AF40" s="24">
        <f>IF($A40="","",IFERROR(($H40+$I40)/$D40,""))</f>
        <v/>
      </c>
      <c r="AG40" s="24">
        <f>IF($A40="","",IFERROR($J40/(SETUP_CP*(SETUP_LPHWF-SETUP_LPHWR)),""))</f>
        <v/>
      </c>
      <c r="AH40" s="24">
        <f>IF($A40="","",IFERROR($K40/(SETUP_CP*(SETUP_CHWR-SETUP_CHWF)),""))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IF($N41="","",IFERROR(INDEX(Library!$B$3:$B$2000,MATCH($N41,Library!$A$3:$A$2000,0)),"NOT FOUND"))</f>
        <v/>
      </c>
      <c r="P41" s="23">
        <f>IF($N41="","",IFERROR(INDEX(Library!$C$3:$C$2000,MATCH($N41,Library!$A$3:$A$2000,0)),"NOT FOUND"))</f>
        <v/>
      </c>
      <c r="Q41" s="23">
        <f>IF($N41="","",IFERROR(INDEX(Library!$D$3:$D$2000,MATCH($N41,Library!$A$3:$A$2000,0)),"NOT FOUND"))</f>
        <v/>
      </c>
      <c r="R41" s="23">
        <f>IF($N41="","",IFERROR(INDEX(Library!$E$3:$E$2000,MATCH($N41,Library!$A$3:$A$2000,0)),"NOT FOUND"))</f>
        <v/>
      </c>
      <c r="S41" s="23">
        <f>IF($N41="","",IFERROR(INDEX(Library!$F$3:$F$2000,MATCH($N41,Library!$A$3:$A$2000,0)),"NOT FOUND"))</f>
        <v/>
      </c>
      <c r="T41" s="23">
        <f>IF($N41="","",IFERROR(INDEX(Library!$G$3:$G$2000,MATCH($N41,Library!$A$3:$A$2000,0)),"NOT FOUND"))</f>
        <v/>
      </c>
      <c r="U41" s="23">
        <f>IF($N41="","",IFERROR(INDEX(Library!$H$3:$H$2000,MATCH($N41,Library!$A$3:$A$2000,0)),"NOT FOUND"))</f>
        <v/>
      </c>
      <c r="V41" s="23">
        <f>IF($N41="","",IFERROR(INDEX(Library!$I$3:$I$2000,MATCH($N41,Library!$A$3:$A$2000,0)),"NOT FOUND"))</f>
        <v/>
      </c>
      <c r="W41" s="23">
        <f>IF($N41="","",IFERROR(INDEX(Library!$J$3:$J$2000,MATCH($N41,Library!$A$3:$A$2000,0)),"NOT FOUND"))</f>
        <v/>
      </c>
      <c r="X41" s="23">
        <f>IF($N41="","",IFERROR(INDEX(Library!$K$3:$K$2000,MATCH($N41,Library!$A$3:$A$2000,0)),"NOT FOUND"))</f>
        <v/>
      </c>
      <c r="Y41" s="23">
        <f>IF($N41="","",IFERROR(INDEX(Library!$L$3:$L$2000,MATCH($N41,Library!$A$3:$A$2000,0)),"NOT FOUND"))</f>
        <v/>
      </c>
      <c r="Z41" s="23">
        <f>IF($N41="","",IFERROR(INDEX(Library!$M$3:$M$2000,MATCH($N41,Library!$A$3:$A$2000,0)),"NOT FOUND"))</f>
        <v/>
      </c>
      <c r="AA41" s="23">
        <f>IF($N41="","",IFERROR(INDEX(Library!$N$3:$N$2000,MATCH($N41,Library!$A$3:$A$2000,0)),"NOT FOUND"))</f>
        <v/>
      </c>
      <c r="AB41" s="23">
        <f>IF($N41="","",IFERROR(INDEX(Library!$O$3:$O$2000,MATCH($N41,Library!$A$3:$A$2000,0)),"NOT FOUND"))</f>
        <v/>
      </c>
      <c r="AC41" s="24">
        <f>IF($A41="","",IFERROR($D41+$E41,""))</f>
        <v/>
      </c>
      <c r="AD41" s="24">
        <f>IF($A41="","",IFERROR($H41/$D41,""))</f>
        <v/>
      </c>
      <c r="AE41" s="24">
        <f>IF($A41="","",IFERROR($I41/$E41,""))</f>
        <v/>
      </c>
      <c r="AF41" s="24">
        <f>IF($A41="","",IFERROR(($H41+$I41)/$D41,""))</f>
        <v/>
      </c>
      <c r="AG41" s="24">
        <f>IF($A41="","",IFERROR($J41/(SETUP_CP*(SETUP_LPHWF-SETUP_LPHWR)),""))</f>
        <v/>
      </c>
      <c r="AH41" s="24">
        <f>IF($A41="","",IFERROR($K41/(SETUP_CP*(SETUP_CHWR-SETUP_CHWF)),""))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IF($N42="","",IFERROR(INDEX(Library!$B$3:$B$2000,MATCH($N42,Library!$A$3:$A$2000,0)),"NOT FOUND"))</f>
        <v/>
      </c>
      <c r="P42" s="23">
        <f>IF($N42="","",IFERROR(INDEX(Library!$C$3:$C$2000,MATCH($N42,Library!$A$3:$A$2000,0)),"NOT FOUND"))</f>
        <v/>
      </c>
      <c r="Q42" s="23">
        <f>IF($N42="","",IFERROR(INDEX(Library!$D$3:$D$2000,MATCH($N42,Library!$A$3:$A$2000,0)),"NOT FOUND"))</f>
        <v/>
      </c>
      <c r="R42" s="23">
        <f>IF($N42="","",IFERROR(INDEX(Library!$E$3:$E$2000,MATCH($N42,Library!$A$3:$A$2000,0)),"NOT FOUND"))</f>
        <v/>
      </c>
      <c r="S42" s="23">
        <f>IF($N42="","",IFERROR(INDEX(Library!$F$3:$F$2000,MATCH($N42,Library!$A$3:$A$2000,0)),"NOT FOUND"))</f>
        <v/>
      </c>
      <c r="T42" s="23">
        <f>IF($N42="","",IFERROR(INDEX(Library!$G$3:$G$2000,MATCH($N42,Library!$A$3:$A$2000,0)),"NOT FOUND"))</f>
        <v/>
      </c>
      <c r="U42" s="23">
        <f>IF($N42="","",IFERROR(INDEX(Library!$H$3:$H$2000,MATCH($N42,Library!$A$3:$A$2000,0)),"NOT FOUND"))</f>
        <v/>
      </c>
      <c r="V42" s="23">
        <f>IF($N42="","",IFERROR(INDEX(Library!$I$3:$I$2000,MATCH($N42,Library!$A$3:$A$2000,0)),"NOT FOUND"))</f>
        <v/>
      </c>
      <c r="W42" s="23">
        <f>IF($N42="","",IFERROR(INDEX(Library!$J$3:$J$2000,MATCH($N42,Library!$A$3:$A$2000,0)),"NOT FOUND"))</f>
        <v/>
      </c>
      <c r="X42" s="23">
        <f>IF($N42="","",IFERROR(INDEX(Library!$K$3:$K$2000,MATCH($N42,Library!$A$3:$A$2000,0)),"NOT FOUND"))</f>
        <v/>
      </c>
      <c r="Y42" s="23">
        <f>IF($N42="","",IFERROR(INDEX(Library!$L$3:$L$2000,MATCH($N42,Library!$A$3:$A$2000,0)),"NOT FOUND"))</f>
        <v/>
      </c>
      <c r="Z42" s="23">
        <f>IF($N42="","",IFERROR(INDEX(Library!$M$3:$M$2000,MATCH($N42,Library!$A$3:$A$2000,0)),"NOT FOUND"))</f>
        <v/>
      </c>
      <c r="AA42" s="23">
        <f>IF($N42="","",IFERROR(INDEX(Library!$N$3:$N$2000,MATCH($N42,Library!$A$3:$A$2000,0)),"NOT FOUND"))</f>
        <v/>
      </c>
      <c r="AB42" s="23">
        <f>IF($N42="","",IFERROR(INDEX(Library!$O$3:$O$2000,MATCH($N42,Library!$A$3:$A$2000,0)),"NOT FOUND"))</f>
        <v/>
      </c>
      <c r="AC42" s="24">
        <f>IF($A42="","",IFERROR($D42+$E42,""))</f>
        <v/>
      </c>
      <c r="AD42" s="24">
        <f>IF($A42="","",IFERROR($H42/$D42,""))</f>
        <v/>
      </c>
      <c r="AE42" s="24">
        <f>IF($A42="","",IFERROR($I42/$E42,""))</f>
        <v/>
      </c>
      <c r="AF42" s="24">
        <f>IF($A42="","",IFERROR(($H42+$I42)/$D42,""))</f>
        <v/>
      </c>
      <c r="AG42" s="24">
        <f>IF($A42="","",IFERROR($J42/(SETUP_CP*(SETUP_LPHWF-SETUP_LPHWR)),""))</f>
        <v/>
      </c>
      <c r="AH42" s="24">
        <f>IF($A42="","",IFERROR($K42/(SETUP_CP*(SETUP_CHWR-SETUP_CHWF)),""))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IF($N43="","",IFERROR(INDEX(Library!$B$3:$B$2000,MATCH($N43,Library!$A$3:$A$2000,0)),"NOT FOUND"))</f>
        <v/>
      </c>
      <c r="P43" s="23">
        <f>IF($N43="","",IFERROR(INDEX(Library!$C$3:$C$2000,MATCH($N43,Library!$A$3:$A$2000,0)),"NOT FOUND"))</f>
        <v/>
      </c>
      <c r="Q43" s="23">
        <f>IF($N43="","",IFERROR(INDEX(Library!$D$3:$D$2000,MATCH($N43,Library!$A$3:$A$2000,0)),"NOT FOUND"))</f>
        <v/>
      </c>
      <c r="R43" s="23">
        <f>IF($N43="","",IFERROR(INDEX(Library!$E$3:$E$2000,MATCH($N43,Library!$A$3:$A$2000,0)),"NOT FOUND"))</f>
        <v/>
      </c>
      <c r="S43" s="23">
        <f>IF($N43="","",IFERROR(INDEX(Library!$F$3:$F$2000,MATCH($N43,Library!$A$3:$A$2000,0)),"NOT FOUND"))</f>
        <v/>
      </c>
      <c r="T43" s="23">
        <f>IF($N43="","",IFERROR(INDEX(Library!$G$3:$G$2000,MATCH($N43,Library!$A$3:$A$2000,0)),"NOT FOUND"))</f>
        <v/>
      </c>
      <c r="U43" s="23">
        <f>IF($N43="","",IFERROR(INDEX(Library!$H$3:$H$2000,MATCH($N43,Library!$A$3:$A$2000,0)),"NOT FOUND"))</f>
        <v/>
      </c>
      <c r="V43" s="23">
        <f>IF($N43="","",IFERROR(INDEX(Library!$I$3:$I$2000,MATCH($N43,Library!$A$3:$A$2000,0)),"NOT FOUND"))</f>
        <v/>
      </c>
      <c r="W43" s="23">
        <f>IF($N43="","",IFERROR(INDEX(Library!$J$3:$J$2000,MATCH($N43,Library!$A$3:$A$2000,0)),"NOT FOUND"))</f>
        <v/>
      </c>
      <c r="X43" s="23">
        <f>IF($N43="","",IFERROR(INDEX(Library!$K$3:$K$2000,MATCH($N43,Library!$A$3:$A$2000,0)),"NOT FOUND"))</f>
        <v/>
      </c>
      <c r="Y43" s="23">
        <f>IF($N43="","",IFERROR(INDEX(Library!$L$3:$L$2000,MATCH($N43,Library!$A$3:$A$2000,0)),"NOT FOUND"))</f>
        <v/>
      </c>
      <c r="Z43" s="23">
        <f>IF($N43="","",IFERROR(INDEX(Library!$M$3:$M$2000,MATCH($N43,Library!$A$3:$A$2000,0)),"NOT FOUND"))</f>
        <v/>
      </c>
      <c r="AA43" s="23">
        <f>IF($N43="","",IFERROR(INDEX(Library!$N$3:$N$2000,MATCH($N43,Library!$A$3:$A$2000,0)),"NOT FOUND"))</f>
        <v/>
      </c>
      <c r="AB43" s="23">
        <f>IF($N43="","",IFERROR(INDEX(Library!$O$3:$O$2000,MATCH($N43,Library!$A$3:$A$2000,0)),"NOT FOUND"))</f>
        <v/>
      </c>
      <c r="AC43" s="24">
        <f>IF($A43="","",IFERROR($D43+$E43,""))</f>
        <v/>
      </c>
      <c r="AD43" s="24">
        <f>IF($A43="","",IFERROR($H43/$D43,""))</f>
        <v/>
      </c>
      <c r="AE43" s="24">
        <f>IF($A43="","",IFERROR($I43/$E43,""))</f>
        <v/>
      </c>
      <c r="AF43" s="24">
        <f>IF($A43="","",IFERROR(($H43+$I43)/$D43,""))</f>
        <v/>
      </c>
      <c r="AG43" s="24">
        <f>IF($A43="","",IFERROR($J43/(SETUP_CP*(SETUP_LPHWF-SETUP_LPHWR)),""))</f>
        <v/>
      </c>
      <c r="AH43" s="24">
        <f>IF($A43="","",IFERROR($K43/(SETUP_CP*(SETUP_CHWR-SETUP_CHWF)),""))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IF($N44="","",IFERROR(INDEX(Library!$B$3:$B$2000,MATCH($N44,Library!$A$3:$A$2000,0)),"NOT FOUND"))</f>
        <v/>
      </c>
      <c r="P44" s="23">
        <f>IF($N44="","",IFERROR(INDEX(Library!$C$3:$C$2000,MATCH($N44,Library!$A$3:$A$2000,0)),"NOT FOUND"))</f>
        <v/>
      </c>
      <c r="Q44" s="23">
        <f>IF($N44="","",IFERROR(INDEX(Library!$D$3:$D$2000,MATCH($N44,Library!$A$3:$A$2000,0)),"NOT FOUND"))</f>
        <v/>
      </c>
      <c r="R44" s="23">
        <f>IF($N44="","",IFERROR(INDEX(Library!$E$3:$E$2000,MATCH($N44,Library!$A$3:$A$2000,0)),"NOT FOUND"))</f>
        <v/>
      </c>
      <c r="S44" s="23">
        <f>IF($N44="","",IFERROR(INDEX(Library!$F$3:$F$2000,MATCH($N44,Library!$A$3:$A$2000,0)),"NOT FOUND"))</f>
        <v/>
      </c>
      <c r="T44" s="23">
        <f>IF($N44="","",IFERROR(INDEX(Library!$G$3:$G$2000,MATCH($N44,Library!$A$3:$A$2000,0)),"NOT FOUND"))</f>
        <v/>
      </c>
      <c r="U44" s="23">
        <f>IF($N44="","",IFERROR(INDEX(Library!$H$3:$H$2000,MATCH($N44,Library!$A$3:$A$2000,0)),"NOT FOUND"))</f>
        <v/>
      </c>
      <c r="V44" s="23">
        <f>IF($N44="","",IFERROR(INDEX(Library!$I$3:$I$2000,MATCH($N44,Library!$A$3:$A$2000,0)),"NOT FOUND"))</f>
        <v/>
      </c>
      <c r="W44" s="23">
        <f>IF($N44="","",IFERROR(INDEX(Library!$J$3:$J$2000,MATCH($N44,Library!$A$3:$A$2000,0)),"NOT FOUND"))</f>
        <v/>
      </c>
      <c r="X44" s="23">
        <f>IF($N44="","",IFERROR(INDEX(Library!$K$3:$K$2000,MATCH($N44,Library!$A$3:$A$2000,0)),"NOT FOUND"))</f>
        <v/>
      </c>
      <c r="Y44" s="23">
        <f>IF($N44="","",IFERROR(INDEX(Library!$L$3:$L$2000,MATCH($N44,Library!$A$3:$A$2000,0)),"NOT FOUND"))</f>
        <v/>
      </c>
      <c r="Z44" s="23">
        <f>IF($N44="","",IFERROR(INDEX(Library!$M$3:$M$2000,MATCH($N44,Library!$A$3:$A$2000,0)),"NOT FOUND"))</f>
        <v/>
      </c>
      <c r="AA44" s="23">
        <f>IF($N44="","",IFERROR(INDEX(Library!$N$3:$N$2000,MATCH($N44,Library!$A$3:$A$2000,0)),"NOT FOUND"))</f>
        <v/>
      </c>
      <c r="AB44" s="23">
        <f>IF($N44="","",IFERROR(INDEX(Library!$O$3:$O$2000,MATCH($N44,Library!$A$3:$A$2000,0)),"NOT FOUND"))</f>
        <v/>
      </c>
      <c r="AC44" s="24">
        <f>IF($A44="","",IFERROR($D44+$E44,""))</f>
        <v/>
      </c>
      <c r="AD44" s="24">
        <f>IF($A44="","",IFERROR($H44/$D44,""))</f>
        <v/>
      </c>
      <c r="AE44" s="24">
        <f>IF($A44="","",IFERROR($I44/$E44,""))</f>
        <v/>
      </c>
      <c r="AF44" s="24">
        <f>IF($A44="","",IFERROR(($H44+$I44)/$D44,""))</f>
        <v/>
      </c>
      <c r="AG44" s="24">
        <f>IF($A44="","",IFERROR($J44/(SETUP_CP*(SETUP_LPHWF-SETUP_LPHWR)),""))</f>
        <v/>
      </c>
      <c r="AH44" s="24">
        <f>IF($A44="","",IFERROR($K44/(SETUP_CP*(SETUP_CHWR-SETUP_CHWF)),""))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IF($N45="","",IFERROR(INDEX(Library!$B$3:$B$2000,MATCH($N45,Library!$A$3:$A$2000,0)),"NOT FOUND"))</f>
        <v/>
      </c>
      <c r="P45" s="23">
        <f>IF($N45="","",IFERROR(INDEX(Library!$C$3:$C$2000,MATCH($N45,Library!$A$3:$A$2000,0)),"NOT FOUND"))</f>
        <v/>
      </c>
      <c r="Q45" s="23">
        <f>IF($N45="","",IFERROR(INDEX(Library!$D$3:$D$2000,MATCH($N45,Library!$A$3:$A$2000,0)),"NOT FOUND"))</f>
        <v/>
      </c>
      <c r="R45" s="23">
        <f>IF($N45="","",IFERROR(INDEX(Library!$E$3:$E$2000,MATCH($N45,Library!$A$3:$A$2000,0)),"NOT FOUND"))</f>
        <v/>
      </c>
      <c r="S45" s="23">
        <f>IF($N45="","",IFERROR(INDEX(Library!$F$3:$F$2000,MATCH($N45,Library!$A$3:$A$2000,0)),"NOT FOUND"))</f>
        <v/>
      </c>
      <c r="T45" s="23">
        <f>IF($N45="","",IFERROR(INDEX(Library!$G$3:$G$2000,MATCH($N45,Library!$A$3:$A$2000,0)),"NOT FOUND"))</f>
        <v/>
      </c>
      <c r="U45" s="23">
        <f>IF($N45="","",IFERROR(INDEX(Library!$H$3:$H$2000,MATCH($N45,Library!$A$3:$A$2000,0)),"NOT FOUND"))</f>
        <v/>
      </c>
      <c r="V45" s="23">
        <f>IF($N45="","",IFERROR(INDEX(Library!$I$3:$I$2000,MATCH($N45,Library!$A$3:$A$2000,0)),"NOT FOUND"))</f>
        <v/>
      </c>
      <c r="W45" s="23">
        <f>IF($N45="","",IFERROR(INDEX(Library!$J$3:$J$2000,MATCH($N45,Library!$A$3:$A$2000,0)),"NOT FOUND"))</f>
        <v/>
      </c>
      <c r="X45" s="23">
        <f>IF($N45="","",IFERROR(INDEX(Library!$K$3:$K$2000,MATCH($N45,Library!$A$3:$A$2000,0)),"NOT FOUND"))</f>
        <v/>
      </c>
      <c r="Y45" s="23">
        <f>IF($N45="","",IFERROR(INDEX(Library!$L$3:$L$2000,MATCH($N45,Library!$A$3:$A$2000,0)),"NOT FOUND"))</f>
        <v/>
      </c>
      <c r="Z45" s="23">
        <f>IF($N45="","",IFERROR(INDEX(Library!$M$3:$M$2000,MATCH($N45,Library!$A$3:$A$2000,0)),"NOT FOUND"))</f>
        <v/>
      </c>
      <c r="AA45" s="23">
        <f>IF($N45="","",IFERROR(INDEX(Library!$N$3:$N$2000,MATCH($N45,Library!$A$3:$A$2000,0)),"NOT FOUND"))</f>
        <v/>
      </c>
      <c r="AB45" s="23">
        <f>IF($N45="","",IFERROR(INDEX(Library!$O$3:$O$2000,MATCH($N45,Library!$A$3:$A$2000,0)),"NOT FOUND"))</f>
        <v/>
      </c>
      <c r="AC45" s="24">
        <f>IF($A45="","",IFERROR($D45+$E45,""))</f>
        <v/>
      </c>
      <c r="AD45" s="24">
        <f>IF($A45="","",IFERROR($H45/$D45,""))</f>
        <v/>
      </c>
      <c r="AE45" s="24">
        <f>IF($A45="","",IFERROR($I45/$E45,""))</f>
        <v/>
      </c>
      <c r="AF45" s="24">
        <f>IF($A45="","",IFERROR(($H45+$I45)/$D45,""))</f>
        <v/>
      </c>
      <c r="AG45" s="24">
        <f>IF($A45="","",IFERROR($J45/(SETUP_CP*(SETUP_LPHWF-SETUP_LPHWR)),""))</f>
        <v/>
      </c>
      <c r="AH45" s="24">
        <f>IF($A45="","",IFERROR($K45/(SETUP_CP*(SETUP_CHWR-SETUP_CHWF)),""))</f>
        <v/>
      </c>
    </row>
  </sheetData>
  <mergeCells count="2">
    <mergeCell ref="A1:AH1"/>
    <mergeCell ref="A2:AH3"/>
  </mergeCells>
  <dataValidations count="1">
    <dataValidation sqref="N6:N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AHU</t>
        </is>
      </c>
    </row>
    <row r="3">
      <c r="A3" s="26" t="inlineStr">
        <is>
          <t>ScheduleName</t>
        </is>
      </c>
      <c r="B3" s="26" t="inlineStr">
        <is>
          <t>Air Handling Unit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Z9A6461Y19-BOV-5_6-PROJECTNUMBER-SC-M-00000011-G00300-XX-XX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Length</t>
        </is>
      </c>
      <c r="D1" s="28" t="inlineStr">
        <is>
          <t>Width</t>
        </is>
      </c>
      <c r="E1" s="28" t="inlineStr">
        <is>
          <t>Height</t>
        </is>
      </c>
      <c r="F1" s="28" t="inlineStr">
        <is>
          <t>Operating Weight</t>
        </is>
      </c>
      <c r="G1" s="28" t="inlineStr">
        <is>
          <t>Electrical Supply</t>
        </is>
      </c>
      <c r="H1" s="28" t="inlineStr">
        <is>
          <t>Casing Class (BS EN 1886)</t>
        </is>
      </c>
      <c r="I1" s="28" t="inlineStr">
        <is>
          <t>Supply Filter Grade</t>
        </is>
      </c>
      <c r="J1" s="28" t="inlineStr">
        <is>
          <t>Extract Filter Grade</t>
        </is>
      </c>
      <c r="K1" s="28" t="inlineStr">
        <is>
          <t>Heat Recovery Type</t>
        </is>
      </c>
      <c r="L1" s="28" t="inlineStr">
        <is>
          <t>Heat Recovery Efficiency</t>
        </is>
      </c>
      <c r="M1" s="28" t="inlineStr">
        <is>
          <t>Sound Power Level Breakout</t>
        </is>
      </c>
      <c r="N1" s="28" t="inlineStr">
        <is>
          <t>LPHW Coil Connection</t>
        </is>
      </c>
      <c r="O1" s="28" t="inlineStr">
        <is>
          <t>CHW Coil Connection</t>
        </is>
      </c>
    </row>
    <row r="2">
      <c r="A2" s="27" t="inlineStr"/>
      <c r="B2" s="27" t="inlineStr"/>
      <c r="C2" s="27" t="inlineStr">
        <is>
          <t>mm</t>
        </is>
      </c>
      <c r="D2" s="27" t="inlineStr">
        <is>
          <t>mm</t>
        </is>
      </c>
      <c r="E2" s="27" t="inlineStr">
        <is>
          <t>mm</t>
        </is>
      </c>
      <c r="F2" s="27" t="inlineStr">
        <is>
          <t>kg</t>
        </is>
      </c>
      <c r="G2" s="27" t="inlineStr"/>
      <c r="H2" s="27" t="inlineStr"/>
      <c r="I2" s="27" t="inlineStr"/>
      <c r="J2" s="27" t="inlineStr"/>
      <c r="K2" s="27" t="inlineStr"/>
      <c r="L2" s="27" t="inlineStr">
        <is>
          <t>%</t>
        </is>
      </c>
      <c r="M2" s="27" t="inlineStr">
        <is>
          <t>dB(A)</t>
        </is>
      </c>
      <c r="N2" s="27" t="inlineStr">
        <is>
          <t>mm</t>
        </is>
      </c>
      <c r="O2" s="27" t="inlineStr">
        <is>
          <t>mm</t>
        </is>
      </c>
    </row>
    <row r="3">
      <c r="A3" s="29" t="inlineStr">
        <is>
          <t>AHU-EXAMPLE-01</t>
        </is>
      </c>
      <c r="B3" s="29" t="inlineStr">
        <is>
          <t>Nuaire</t>
        </is>
      </c>
      <c r="C3" s="29" t="n">
        <v>4200</v>
      </c>
      <c r="D3" s="29" t="n">
        <v>1600</v>
      </c>
      <c r="E3" s="29" t="n">
        <v>1800</v>
      </c>
      <c r="F3" s="29" t="n">
        <v>1450</v>
      </c>
      <c r="G3" s="29" t="inlineStr">
        <is>
          <t>400V/3ph/50Hz</t>
        </is>
      </c>
      <c r="H3" s="29" t="inlineStr">
        <is>
          <t>T2/TB2/L1/F9</t>
        </is>
      </c>
      <c r="I3" s="29" t="inlineStr">
        <is>
          <t>ISO ePM1 60%</t>
        </is>
      </c>
      <c r="J3" s="29" t="inlineStr">
        <is>
          <t>ISO ePM10 50%</t>
        </is>
      </c>
      <c r="K3" s="29" t="inlineStr">
        <is>
          <t>Thermal Wheel</t>
        </is>
      </c>
      <c r="L3" s="29" t="n">
        <v>78</v>
      </c>
      <c r="M3" s="29" t="n">
        <v>68</v>
      </c>
      <c r="N3" s="29" t="n">
        <v>40</v>
      </c>
      <c r="O3" s="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2026-08-25T12:43:55Z</dcterms:created>
  <dcterms:modified xmlns:dcterms="http://purl.org/dc/terms/" xmlns:xsi="http://www.w3.org/2001/XMLSchema-instance" xsi:type="dcterms:W3CDTF">2026-08-25T12:43:55Z</dcterms:modified>
</cp:coreProperties>
</file>